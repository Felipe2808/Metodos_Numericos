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23A9ED4D-D364-4039-A97C-16A54B63978B}" xr6:coauthVersionLast="47" xr6:coauthVersionMax="47" xr10:uidLastSave="{00000000-0000-0000-0000-000000000000}"/>
  <bookViews>
    <workbookView xWindow="3072" yWindow="3072" windowWidth="17280" windowHeight="10500" xr2:uid="{31D4A490-698F-4C7F-AF09-95C73BAD2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4" i="1" l="1"/>
  <c r="B354" i="1"/>
  <c r="D354" i="1" s="1"/>
  <c r="G353" i="1"/>
  <c r="F353" i="1"/>
  <c r="C354" i="1" s="1"/>
  <c r="E353" i="1"/>
  <c r="D353" i="1"/>
  <c r="B344" i="1"/>
  <c r="G343" i="1"/>
  <c r="E343" i="1"/>
  <c r="D343" i="1"/>
  <c r="F343" i="1" s="1"/>
  <c r="C344" i="1" s="1"/>
  <c r="G332" i="1"/>
  <c r="B332" i="1"/>
  <c r="D332" i="1" s="1"/>
  <c r="G331" i="1"/>
  <c r="F331" i="1"/>
  <c r="C332" i="1" s="1"/>
  <c r="E331" i="1"/>
  <c r="D331" i="1"/>
  <c r="B320" i="1"/>
  <c r="G319" i="1"/>
  <c r="E319" i="1"/>
  <c r="F319" i="1" s="1"/>
  <c r="C320" i="1" s="1"/>
  <c r="D319" i="1"/>
  <c r="B302" i="1"/>
  <c r="G301" i="1"/>
  <c r="E301" i="1"/>
  <c r="F301" i="1" s="1"/>
  <c r="C302" i="1" s="1"/>
  <c r="D301" i="1"/>
  <c r="F281" i="1"/>
  <c r="E281" i="1"/>
  <c r="B282" i="1" s="1"/>
  <c r="D281" i="1"/>
  <c r="C281" i="1"/>
  <c r="F271" i="1"/>
  <c r="D271" i="1"/>
  <c r="E271" i="1" s="1"/>
  <c r="B272" i="1" s="1"/>
  <c r="C271" i="1"/>
  <c r="F260" i="1"/>
  <c r="D260" i="1"/>
  <c r="C260" i="1"/>
  <c r="E260" i="1" s="1"/>
  <c r="B261" i="1" s="1"/>
  <c r="G240" i="1"/>
  <c r="F240" i="1"/>
  <c r="C241" i="1" s="1"/>
  <c r="E240" i="1"/>
  <c r="D240" i="1"/>
  <c r="G226" i="1"/>
  <c r="E226" i="1"/>
  <c r="D226" i="1"/>
  <c r="F226" i="1" s="1"/>
  <c r="C227" i="1" s="1"/>
  <c r="F196" i="1"/>
  <c r="E196" i="1"/>
  <c r="D196" i="1"/>
  <c r="I196" i="1" s="1"/>
  <c r="J196" i="1" s="1"/>
  <c r="F181" i="1"/>
  <c r="E181" i="1"/>
  <c r="D181" i="1"/>
  <c r="G181" i="1" s="1"/>
  <c r="H181" i="1" s="1"/>
  <c r="F164" i="1"/>
  <c r="E164" i="1"/>
  <c r="D164" i="1" s="1"/>
  <c r="F126" i="1"/>
  <c r="D126" i="1" s="1"/>
  <c r="E126" i="1"/>
  <c r="F99" i="1"/>
  <c r="E99" i="1"/>
  <c r="D99" i="1"/>
  <c r="I99" i="1" s="1"/>
  <c r="J99" i="1" s="1"/>
  <c r="E79" i="1"/>
  <c r="D79" i="1"/>
  <c r="C79" i="1"/>
  <c r="E68" i="1"/>
  <c r="D68" i="1"/>
  <c r="C68" i="1"/>
  <c r="H68" i="1" s="1"/>
  <c r="H56" i="1"/>
  <c r="F56" i="1"/>
  <c r="E56" i="1"/>
  <c r="D56" i="1"/>
  <c r="G56" i="1" s="1"/>
  <c r="C56" i="1"/>
  <c r="F44" i="1"/>
  <c r="E44" i="1"/>
  <c r="D44" i="1"/>
  <c r="G44" i="1" s="1"/>
  <c r="C44" i="1"/>
  <c r="H44" i="1" s="1"/>
  <c r="H33" i="1"/>
  <c r="F33" i="1"/>
  <c r="E33" i="1"/>
  <c r="D33" i="1"/>
  <c r="G33" i="1" s="1"/>
  <c r="C33" i="1"/>
  <c r="G8" i="1"/>
  <c r="B9" i="1" s="1"/>
  <c r="D9" i="1" s="1"/>
  <c r="F8" i="1"/>
  <c r="E8" i="1"/>
  <c r="D8" i="1"/>
  <c r="C8" i="1"/>
  <c r="E28" i="1" s="1"/>
  <c r="B345" i="1" l="1"/>
  <c r="E344" i="1"/>
  <c r="F344" i="1" s="1"/>
  <c r="C345" i="1" s="1"/>
  <c r="G345" i="1"/>
  <c r="E354" i="1"/>
  <c r="F354" i="1"/>
  <c r="C355" i="1" s="1"/>
  <c r="B355" i="1"/>
  <c r="B321" i="1"/>
  <c r="F320" i="1"/>
  <c r="C321" i="1" s="1"/>
  <c r="E320" i="1"/>
  <c r="E332" i="1"/>
  <c r="F332" i="1" s="1"/>
  <c r="C333" i="1" s="1"/>
  <c r="B333" i="1"/>
  <c r="B303" i="1"/>
  <c r="E302" i="1"/>
  <c r="F302" i="1" s="1"/>
  <c r="C303" i="1" s="1"/>
  <c r="D302" i="1"/>
  <c r="D320" i="1"/>
  <c r="D344" i="1"/>
  <c r="G320" i="1"/>
  <c r="G344" i="1"/>
  <c r="G302" i="1"/>
  <c r="C261" i="1"/>
  <c r="D261" i="1"/>
  <c r="E261" i="1" s="1"/>
  <c r="B262" i="1" s="1"/>
  <c r="F261" i="1"/>
  <c r="E241" i="1"/>
  <c r="D241" i="1"/>
  <c r="F241" i="1" s="1"/>
  <c r="C242" i="1" s="1"/>
  <c r="G241" i="1"/>
  <c r="D272" i="1"/>
  <c r="C272" i="1"/>
  <c r="E272" i="1" s="1"/>
  <c r="B273" i="1" s="1"/>
  <c r="F272" i="1"/>
  <c r="E282" i="1"/>
  <c r="B283" i="1" s="1"/>
  <c r="C282" i="1"/>
  <c r="D282" i="1"/>
  <c r="F282" i="1"/>
  <c r="G227" i="1"/>
  <c r="E227" i="1"/>
  <c r="D227" i="1"/>
  <c r="F227" i="1" s="1"/>
  <c r="C228" i="1" s="1"/>
  <c r="I126" i="1"/>
  <c r="J126" i="1" s="1"/>
  <c r="G126" i="1"/>
  <c r="H126" i="1" s="1"/>
  <c r="I164" i="1"/>
  <c r="J164" i="1" s="1"/>
  <c r="G164" i="1"/>
  <c r="H164" i="1" s="1"/>
  <c r="B182" i="1"/>
  <c r="E182" i="1" s="1"/>
  <c r="C182" i="1"/>
  <c r="I181" i="1"/>
  <c r="J181" i="1" s="1"/>
  <c r="G99" i="1"/>
  <c r="H99" i="1" s="1"/>
  <c r="G196" i="1"/>
  <c r="H196" i="1" s="1"/>
  <c r="B34" i="1"/>
  <c r="E34" i="1" s="1"/>
  <c r="A34" i="1"/>
  <c r="B45" i="1"/>
  <c r="E45" i="1" s="1"/>
  <c r="A45" i="1"/>
  <c r="B57" i="1"/>
  <c r="E57" i="1" s="1"/>
  <c r="A57" i="1"/>
  <c r="A9" i="1"/>
  <c r="F79" i="1"/>
  <c r="G79" i="1" s="1"/>
  <c r="F68" i="1"/>
  <c r="G68" i="1" s="1"/>
  <c r="H79" i="1"/>
  <c r="E333" i="1" l="1"/>
  <c r="B334" i="1"/>
  <c r="B304" i="1"/>
  <c r="E303" i="1"/>
  <c r="F303" i="1" s="1"/>
  <c r="C304" i="1" s="1"/>
  <c r="E345" i="1"/>
  <c r="F345" i="1" s="1"/>
  <c r="C346" i="1" s="1"/>
  <c r="B346" i="1"/>
  <c r="E321" i="1"/>
  <c r="F321" i="1" s="1"/>
  <c r="C322" i="1" s="1"/>
  <c r="B322" i="1"/>
  <c r="B356" i="1"/>
  <c r="G356" i="1" s="1"/>
  <c r="E355" i="1"/>
  <c r="F355" i="1" s="1"/>
  <c r="C356" i="1" s="1"/>
  <c r="G346" i="1"/>
  <c r="D345" i="1"/>
  <c r="D303" i="1"/>
  <c r="G334" i="1"/>
  <c r="D333" i="1"/>
  <c r="F333" i="1" s="1"/>
  <c r="C334" i="1" s="1"/>
  <c r="G333" i="1"/>
  <c r="D321" i="1"/>
  <c r="D355" i="1"/>
  <c r="G355" i="1"/>
  <c r="G303" i="1"/>
  <c r="G321" i="1"/>
  <c r="D228" i="1"/>
  <c r="E228" i="1"/>
  <c r="F228" i="1" s="1"/>
  <c r="C229" i="1" s="1"/>
  <c r="G228" i="1"/>
  <c r="D273" i="1"/>
  <c r="C273" i="1"/>
  <c r="E273" i="1" s="1"/>
  <c r="B274" i="1" s="1"/>
  <c r="F273" i="1"/>
  <c r="E242" i="1"/>
  <c r="D242" i="1"/>
  <c r="F242" i="1" s="1"/>
  <c r="C243" i="1" s="1"/>
  <c r="G242" i="1"/>
  <c r="C262" i="1"/>
  <c r="E262" i="1" s="1"/>
  <c r="B263" i="1" s="1"/>
  <c r="D262" i="1"/>
  <c r="F262" i="1"/>
  <c r="D283" i="1"/>
  <c r="C283" i="1"/>
  <c r="E283" i="1" s="1"/>
  <c r="B284" i="1" s="1"/>
  <c r="F283" i="1"/>
  <c r="C127" i="1"/>
  <c r="B127" i="1"/>
  <c r="E127" i="1" s="1"/>
  <c r="C100" i="1"/>
  <c r="B100" i="1"/>
  <c r="E100" i="1" s="1"/>
  <c r="C165" i="1"/>
  <c r="B165" i="1"/>
  <c r="E165" i="1" s="1"/>
  <c r="F182" i="1"/>
  <c r="D182" i="1" s="1"/>
  <c r="C197" i="1"/>
  <c r="B197" i="1"/>
  <c r="E197" i="1" s="1"/>
  <c r="B69" i="1"/>
  <c r="E69" i="1" s="1"/>
  <c r="A69" i="1"/>
  <c r="B80" i="1"/>
  <c r="E80" i="1" s="1"/>
  <c r="A80" i="1"/>
  <c r="C9" i="1"/>
  <c r="E9" i="1"/>
  <c r="D57" i="1"/>
  <c r="C57" i="1"/>
  <c r="C45" i="1"/>
  <c r="D45" i="1"/>
  <c r="D34" i="1"/>
  <c r="C34" i="1"/>
  <c r="B335" i="1" l="1"/>
  <c r="E334" i="1"/>
  <c r="F334" i="1" s="1"/>
  <c r="C335" i="1" s="1"/>
  <c r="B357" i="1"/>
  <c r="E356" i="1"/>
  <c r="F356" i="1" s="1"/>
  <c r="C357" i="1" s="1"/>
  <c r="E322" i="1"/>
  <c r="F322" i="1" s="1"/>
  <c r="C323" i="1" s="1"/>
  <c r="B323" i="1"/>
  <c r="E304" i="1"/>
  <c r="B305" i="1"/>
  <c r="F304" i="1"/>
  <c r="C305" i="1" s="1"/>
  <c r="E346" i="1"/>
  <c r="F346" i="1" s="1"/>
  <c r="C347" i="1" s="1"/>
  <c r="B347" i="1"/>
  <c r="G323" i="1"/>
  <c r="D322" i="1"/>
  <c r="D346" i="1"/>
  <c r="G322" i="1"/>
  <c r="D304" i="1"/>
  <c r="G357" i="1"/>
  <c r="D356" i="1"/>
  <c r="G304" i="1"/>
  <c r="D334" i="1"/>
  <c r="G335" i="1"/>
  <c r="D263" i="1"/>
  <c r="C263" i="1"/>
  <c r="E263" i="1" s="1"/>
  <c r="B264" i="1" s="1"/>
  <c r="F263" i="1"/>
  <c r="E243" i="1"/>
  <c r="D243" i="1"/>
  <c r="F243" i="1" s="1"/>
  <c r="C244" i="1" s="1"/>
  <c r="G243" i="1"/>
  <c r="D274" i="1"/>
  <c r="C274" i="1"/>
  <c r="E274" i="1" s="1"/>
  <c r="B275" i="1" s="1"/>
  <c r="F274" i="1"/>
  <c r="E284" i="1"/>
  <c r="B285" i="1" s="1"/>
  <c r="D284" i="1"/>
  <c r="C284" i="1"/>
  <c r="F284" i="1"/>
  <c r="D229" i="1"/>
  <c r="E229" i="1"/>
  <c r="F229" i="1"/>
  <c r="C230" i="1" s="1"/>
  <c r="G229" i="1"/>
  <c r="I182" i="1"/>
  <c r="J182" i="1" s="1"/>
  <c r="G182" i="1"/>
  <c r="H182" i="1" s="1"/>
  <c r="F165" i="1"/>
  <c r="D165" i="1"/>
  <c r="F197" i="1"/>
  <c r="D197" i="1" s="1"/>
  <c r="F100" i="1"/>
  <c r="D100" i="1" s="1"/>
  <c r="F127" i="1"/>
  <c r="D127" i="1"/>
  <c r="H34" i="1"/>
  <c r="F34" i="1"/>
  <c r="H57" i="1"/>
  <c r="F57" i="1"/>
  <c r="G57" i="1" s="1"/>
  <c r="H9" i="1"/>
  <c r="F9" i="1"/>
  <c r="G9" i="1" s="1"/>
  <c r="G34" i="1"/>
  <c r="F45" i="1"/>
  <c r="G45" i="1" s="1"/>
  <c r="H45" i="1"/>
  <c r="D80" i="1"/>
  <c r="C80" i="1"/>
  <c r="D69" i="1"/>
  <c r="C69" i="1"/>
  <c r="B324" i="1" l="1"/>
  <c r="E323" i="1"/>
  <c r="F323" i="1" s="1"/>
  <c r="C324" i="1" s="1"/>
  <c r="B348" i="1"/>
  <c r="E347" i="1"/>
  <c r="F347" i="1" s="1"/>
  <c r="C348" i="1" s="1"/>
  <c r="B358" i="1"/>
  <c r="E357" i="1"/>
  <c r="F357" i="1" s="1"/>
  <c r="C358" i="1" s="1"/>
  <c r="B336" i="1"/>
  <c r="E335" i="1"/>
  <c r="F335" i="1" s="1"/>
  <c r="C336" i="1" s="1"/>
  <c r="E305" i="1"/>
  <c r="F305" i="1" s="1"/>
  <c r="C306" i="1" s="1"/>
  <c r="B306" i="1"/>
  <c r="G306" i="1" s="1"/>
  <c r="G324" i="1"/>
  <c r="D323" i="1"/>
  <c r="D347" i="1"/>
  <c r="D305" i="1"/>
  <c r="G305" i="1"/>
  <c r="D357" i="1"/>
  <c r="G358" i="1"/>
  <c r="G347" i="1"/>
  <c r="D335" i="1"/>
  <c r="G336" i="1"/>
  <c r="D275" i="1"/>
  <c r="C275" i="1"/>
  <c r="E275" i="1" s="1"/>
  <c r="B276" i="1" s="1"/>
  <c r="F275" i="1"/>
  <c r="D264" i="1"/>
  <c r="C264" i="1"/>
  <c r="E264" i="1" s="1"/>
  <c r="B265" i="1" s="1"/>
  <c r="F264" i="1"/>
  <c r="E244" i="1"/>
  <c r="D244" i="1"/>
  <c r="F244" i="1" s="1"/>
  <c r="C245" i="1" s="1"/>
  <c r="G244" i="1"/>
  <c r="E285" i="1"/>
  <c r="B286" i="1" s="1"/>
  <c r="F286" i="1" s="1"/>
  <c r="D285" i="1"/>
  <c r="C285" i="1"/>
  <c r="D230" i="1"/>
  <c r="F230" i="1" s="1"/>
  <c r="C231" i="1" s="1"/>
  <c r="E230" i="1"/>
  <c r="G230" i="1"/>
  <c r="F285" i="1"/>
  <c r="I197" i="1"/>
  <c r="J197" i="1" s="1"/>
  <c r="G197" i="1"/>
  <c r="H197" i="1" s="1"/>
  <c r="G100" i="1"/>
  <c r="H100" i="1" s="1"/>
  <c r="I100" i="1"/>
  <c r="J100" i="1" s="1"/>
  <c r="G165" i="1"/>
  <c r="H165" i="1" s="1"/>
  <c r="I165" i="1"/>
  <c r="J165" i="1" s="1"/>
  <c r="C183" i="1"/>
  <c r="B183" i="1"/>
  <c r="E183" i="1" s="1"/>
  <c r="I127" i="1"/>
  <c r="J127" i="1" s="1"/>
  <c r="G127" i="1"/>
  <c r="H127" i="1" s="1"/>
  <c r="B46" i="1"/>
  <c r="E46" i="1" s="1"/>
  <c r="A46" i="1"/>
  <c r="B10" i="1"/>
  <c r="D10" i="1" s="1"/>
  <c r="A10" i="1"/>
  <c r="B58" i="1"/>
  <c r="E58" i="1" s="1"/>
  <c r="A58" i="1"/>
  <c r="F80" i="1"/>
  <c r="H80" i="1"/>
  <c r="F69" i="1"/>
  <c r="H69" i="1"/>
  <c r="G80" i="1"/>
  <c r="B35" i="1"/>
  <c r="E35" i="1" s="1"/>
  <c r="A35" i="1"/>
  <c r="G69" i="1"/>
  <c r="B307" i="1" l="1"/>
  <c r="E306" i="1"/>
  <c r="F306" i="1" s="1"/>
  <c r="C307" i="1" s="1"/>
  <c r="B359" i="1"/>
  <c r="D359" i="1" s="1"/>
  <c r="E358" i="1"/>
  <c r="F358" i="1" s="1"/>
  <c r="C359" i="1" s="1"/>
  <c r="B337" i="1"/>
  <c r="D337" i="1" s="1"/>
  <c r="E336" i="1"/>
  <c r="F336" i="1" s="1"/>
  <c r="C337" i="1" s="1"/>
  <c r="E348" i="1"/>
  <c r="B349" i="1"/>
  <c r="D349" i="1" s="1"/>
  <c r="E324" i="1"/>
  <c r="F324" i="1" s="1"/>
  <c r="C325" i="1" s="1"/>
  <c r="B325" i="1"/>
  <c r="D325" i="1" s="1"/>
  <c r="D348" i="1"/>
  <c r="F348" i="1" s="1"/>
  <c r="C349" i="1" s="1"/>
  <c r="D306" i="1"/>
  <c r="G307" i="1"/>
  <c r="D336" i="1"/>
  <c r="G348" i="1"/>
  <c r="G359" i="1"/>
  <c r="D358" i="1"/>
  <c r="D324" i="1"/>
  <c r="D231" i="1"/>
  <c r="E231" i="1"/>
  <c r="F231" i="1" s="1"/>
  <c r="C232" i="1" s="1"/>
  <c r="G231" i="1"/>
  <c r="E245" i="1"/>
  <c r="D245" i="1"/>
  <c r="F245" i="1" s="1"/>
  <c r="C246" i="1" s="1"/>
  <c r="G245" i="1"/>
  <c r="D265" i="1"/>
  <c r="C265" i="1"/>
  <c r="E265" i="1" s="1"/>
  <c r="B266" i="1" s="1"/>
  <c r="F265" i="1"/>
  <c r="C276" i="1"/>
  <c r="E276" i="1" s="1"/>
  <c r="B277" i="1" s="1"/>
  <c r="D276" i="1"/>
  <c r="F276" i="1"/>
  <c r="D286" i="1"/>
  <c r="C286" i="1"/>
  <c r="E286" i="1" s="1"/>
  <c r="B287" i="1" s="1"/>
  <c r="C128" i="1"/>
  <c r="B128" i="1"/>
  <c r="E128" i="1" s="1"/>
  <c r="C166" i="1"/>
  <c r="B166" i="1"/>
  <c r="E166" i="1" s="1"/>
  <c r="B101" i="1"/>
  <c r="E101" i="1" s="1"/>
  <c r="C101" i="1"/>
  <c r="C198" i="1"/>
  <c r="B198" i="1"/>
  <c r="E198" i="1" s="1"/>
  <c r="F183" i="1"/>
  <c r="D183" i="1" s="1"/>
  <c r="B70" i="1"/>
  <c r="E70" i="1" s="1"/>
  <c r="A70" i="1"/>
  <c r="D35" i="1"/>
  <c r="C35" i="1"/>
  <c r="E10" i="1"/>
  <c r="C10" i="1"/>
  <c r="A81" i="1"/>
  <c r="B81" i="1"/>
  <c r="E81" i="1" s="1"/>
  <c r="D58" i="1"/>
  <c r="C58" i="1"/>
  <c r="D46" i="1"/>
  <c r="C46" i="1"/>
  <c r="E325" i="1" l="1"/>
  <c r="F325" i="1" s="1"/>
  <c r="E337" i="1"/>
  <c r="F337" i="1" s="1"/>
  <c r="E349" i="1"/>
  <c r="F349" i="1"/>
  <c r="E359" i="1"/>
  <c r="F359" i="1" s="1"/>
  <c r="B308" i="1"/>
  <c r="E307" i="1"/>
  <c r="F307" i="1" s="1"/>
  <c r="C308" i="1" s="1"/>
  <c r="G325" i="1"/>
  <c r="G337" i="1"/>
  <c r="G349" i="1"/>
  <c r="D307" i="1"/>
  <c r="G308" i="1"/>
  <c r="D287" i="1"/>
  <c r="C287" i="1"/>
  <c r="E287" i="1" s="1"/>
  <c r="F287" i="1"/>
  <c r="D277" i="1"/>
  <c r="C277" i="1"/>
  <c r="E277" i="1" s="1"/>
  <c r="F277" i="1"/>
  <c r="D266" i="1"/>
  <c r="C266" i="1"/>
  <c r="E266" i="1" s="1"/>
  <c r="F266" i="1"/>
  <c r="D246" i="1"/>
  <c r="E246" i="1"/>
  <c r="F246" i="1" s="1"/>
  <c r="G246" i="1"/>
  <c r="D232" i="1"/>
  <c r="E232" i="1"/>
  <c r="F232" i="1" s="1"/>
  <c r="G232" i="1"/>
  <c r="I183" i="1"/>
  <c r="J183" i="1" s="1"/>
  <c r="G183" i="1"/>
  <c r="H183" i="1" s="1"/>
  <c r="F198" i="1"/>
  <c r="D198" i="1"/>
  <c r="F101" i="1"/>
  <c r="D101" i="1" s="1"/>
  <c r="F166" i="1"/>
  <c r="D166" i="1" s="1"/>
  <c r="F128" i="1"/>
  <c r="D128" i="1" s="1"/>
  <c r="F46" i="1"/>
  <c r="H46" i="1"/>
  <c r="F58" i="1"/>
  <c r="H58" i="1"/>
  <c r="G46" i="1"/>
  <c r="F35" i="1"/>
  <c r="H35" i="1"/>
  <c r="G35" i="1"/>
  <c r="G10" i="1"/>
  <c r="D70" i="1"/>
  <c r="C70" i="1"/>
  <c r="G58" i="1"/>
  <c r="D81" i="1"/>
  <c r="C81" i="1"/>
  <c r="F10" i="1"/>
  <c r="H10" i="1"/>
  <c r="B309" i="1" l="1"/>
  <c r="D309" i="1" s="1"/>
  <c r="E308" i="1"/>
  <c r="F308" i="1" s="1"/>
  <c r="C309" i="1" s="1"/>
  <c r="G309" i="1"/>
  <c r="D308" i="1"/>
  <c r="I166" i="1"/>
  <c r="J166" i="1" s="1"/>
  <c r="G166" i="1"/>
  <c r="H166" i="1" s="1"/>
  <c r="I128" i="1"/>
  <c r="J128" i="1" s="1"/>
  <c r="G128" i="1"/>
  <c r="H128" i="1" s="1"/>
  <c r="I101" i="1"/>
  <c r="J101" i="1" s="1"/>
  <c r="G101" i="1"/>
  <c r="H101" i="1" s="1"/>
  <c r="I198" i="1"/>
  <c r="J198" i="1" s="1"/>
  <c r="G198" i="1"/>
  <c r="H198" i="1" s="1"/>
  <c r="C184" i="1"/>
  <c r="B184" i="1"/>
  <c r="E184" i="1" s="1"/>
  <c r="B59" i="1"/>
  <c r="E59" i="1" s="1"/>
  <c r="A59" i="1"/>
  <c r="B11" i="1"/>
  <c r="D11" i="1" s="1"/>
  <c r="A11" i="1"/>
  <c r="F70" i="1"/>
  <c r="H70" i="1"/>
  <c r="A36" i="1"/>
  <c r="B36" i="1"/>
  <c r="E36" i="1" s="1"/>
  <c r="G70" i="1"/>
  <c r="B47" i="1"/>
  <c r="E47" i="1" s="1"/>
  <c r="A47" i="1"/>
  <c r="F81" i="1"/>
  <c r="G81" i="1" s="1"/>
  <c r="H81" i="1"/>
  <c r="E309" i="1" l="1"/>
  <c r="F309" i="1" s="1"/>
  <c r="F184" i="1"/>
  <c r="D184" i="1"/>
  <c r="C102" i="1"/>
  <c r="B102" i="1"/>
  <c r="E102" i="1" s="1"/>
  <c r="C129" i="1"/>
  <c r="B129" i="1"/>
  <c r="E129" i="1" s="1"/>
  <c r="B199" i="1"/>
  <c r="E199" i="1" s="1"/>
  <c r="C199" i="1"/>
  <c r="C167" i="1"/>
  <c r="B167" i="1"/>
  <c r="E167" i="1" s="1"/>
  <c r="B82" i="1"/>
  <c r="E82" i="1" s="1"/>
  <c r="A82" i="1"/>
  <c r="D47" i="1"/>
  <c r="C47" i="1"/>
  <c r="B71" i="1"/>
  <c r="E71" i="1" s="1"/>
  <c r="A71" i="1"/>
  <c r="D36" i="1"/>
  <c r="C36" i="1"/>
  <c r="C11" i="1"/>
  <c r="E11" i="1"/>
  <c r="D59" i="1"/>
  <c r="C59" i="1"/>
  <c r="F199" i="1" l="1"/>
  <c r="D199" i="1"/>
  <c r="F129" i="1"/>
  <c r="D129" i="1"/>
  <c r="I184" i="1"/>
  <c r="J184" i="1" s="1"/>
  <c r="G184" i="1"/>
  <c r="H184" i="1" s="1"/>
  <c r="F167" i="1"/>
  <c r="D167" i="1" s="1"/>
  <c r="F102" i="1"/>
  <c r="D102" i="1" s="1"/>
  <c r="F59" i="1"/>
  <c r="G59" i="1" s="1"/>
  <c r="H59" i="1"/>
  <c r="H11" i="1"/>
  <c r="F11" i="1"/>
  <c r="F47" i="1"/>
  <c r="G47" i="1" s="1"/>
  <c r="H47" i="1"/>
  <c r="D82" i="1"/>
  <c r="C82" i="1"/>
  <c r="G11" i="1"/>
  <c r="F36" i="1"/>
  <c r="G36" i="1" s="1"/>
  <c r="H36" i="1"/>
  <c r="D71" i="1"/>
  <c r="C71" i="1"/>
  <c r="I102" i="1" l="1"/>
  <c r="J102" i="1" s="1"/>
  <c r="G102" i="1"/>
  <c r="H102" i="1" s="1"/>
  <c r="I167" i="1"/>
  <c r="J167" i="1" s="1"/>
  <c r="G167" i="1"/>
  <c r="H167" i="1" s="1"/>
  <c r="C185" i="1"/>
  <c r="B185" i="1"/>
  <c r="E185" i="1" s="1"/>
  <c r="I129" i="1"/>
  <c r="J129" i="1" s="1"/>
  <c r="G129" i="1"/>
  <c r="H129" i="1" s="1"/>
  <c r="I199" i="1"/>
  <c r="J199" i="1" s="1"/>
  <c r="G199" i="1"/>
  <c r="H199" i="1" s="1"/>
  <c r="B60" i="1"/>
  <c r="E60" i="1" s="1"/>
  <c r="A60" i="1"/>
  <c r="B37" i="1"/>
  <c r="E37" i="1" s="1"/>
  <c r="A37" i="1"/>
  <c r="B48" i="1"/>
  <c r="E48" i="1" s="1"/>
  <c r="A48" i="1"/>
  <c r="B12" i="1"/>
  <c r="D12" i="1" s="1"/>
  <c r="A12" i="1"/>
  <c r="F82" i="1"/>
  <c r="H82" i="1"/>
  <c r="F71" i="1"/>
  <c r="H71" i="1"/>
  <c r="G82" i="1"/>
  <c r="G71" i="1"/>
  <c r="C200" i="1" l="1"/>
  <c r="B200" i="1"/>
  <c r="E200" i="1" s="1"/>
  <c r="C168" i="1"/>
  <c r="B168" i="1"/>
  <c r="E168" i="1" s="1"/>
  <c r="B130" i="1"/>
  <c r="E130" i="1" s="1"/>
  <c r="C130" i="1"/>
  <c r="F185" i="1"/>
  <c r="D185" i="1"/>
  <c r="C103" i="1"/>
  <c r="B103" i="1"/>
  <c r="E103" i="1" s="1"/>
  <c r="D37" i="1"/>
  <c r="C37" i="1"/>
  <c r="D48" i="1"/>
  <c r="C48" i="1"/>
  <c r="D60" i="1"/>
  <c r="C60" i="1"/>
  <c r="B72" i="1"/>
  <c r="E72" i="1" s="1"/>
  <c r="A72" i="1"/>
  <c r="A83" i="1"/>
  <c r="B83" i="1"/>
  <c r="E83" i="1" s="1"/>
  <c r="C12" i="1"/>
  <c r="E12" i="1"/>
  <c r="G185" i="1" l="1"/>
  <c r="H185" i="1" s="1"/>
  <c r="I185" i="1"/>
  <c r="J185" i="1" s="1"/>
  <c r="F103" i="1"/>
  <c r="D103" i="1"/>
  <c r="F130" i="1"/>
  <c r="D130" i="1" s="1"/>
  <c r="F168" i="1"/>
  <c r="D168" i="1" s="1"/>
  <c r="F200" i="1"/>
  <c r="D200" i="1"/>
  <c r="F48" i="1"/>
  <c r="H48" i="1"/>
  <c r="F12" i="1"/>
  <c r="G12" i="1" s="1"/>
  <c r="H12" i="1"/>
  <c r="D83" i="1"/>
  <c r="C83" i="1"/>
  <c r="G48" i="1"/>
  <c r="D72" i="1"/>
  <c r="C72" i="1"/>
  <c r="F60" i="1"/>
  <c r="G60" i="1" s="1"/>
  <c r="H60" i="1"/>
  <c r="F37" i="1"/>
  <c r="G37" i="1" s="1"/>
  <c r="H37" i="1"/>
  <c r="I168" i="1" l="1"/>
  <c r="J168" i="1" s="1"/>
  <c r="G168" i="1"/>
  <c r="H168" i="1" s="1"/>
  <c r="I130" i="1"/>
  <c r="J130" i="1" s="1"/>
  <c r="G130" i="1"/>
  <c r="H130" i="1" s="1"/>
  <c r="I200" i="1"/>
  <c r="J200" i="1" s="1"/>
  <c r="G200" i="1"/>
  <c r="H200" i="1" s="1"/>
  <c r="I103" i="1"/>
  <c r="J103" i="1" s="1"/>
  <c r="G103" i="1"/>
  <c r="H103" i="1" s="1"/>
  <c r="C186" i="1"/>
  <c r="B186" i="1"/>
  <c r="E186" i="1" s="1"/>
  <c r="A38" i="1"/>
  <c r="B38" i="1"/>
  <c r="E38" i="1" s="1"/>
  <c r="B61" i="1"/>
  <c r="E61" i="1" s="1"/>
  <c r="A61" i="1"/>
  <c r="B13" i="1"/>
  <c r="D13" i="1" s="1"/>
  <c r="A13" i="1"/>
  <c r="F83" i="1"/>
  <c r="H83" i="1"/>
  <c r="F72" i="1"/>
  <c r="G72" i="1" s="1"/>
  <c r="H72" i="1"/>
  <c r="B49" i="1"/>
  <c r="E49" i="1" s="1"/>
  <c r="A49" i="1"/>
  <c r="G83" i="1"/>
  <c r="F186" i="1" l="1"/>
  <c r="D186" i="1"/>
  <c r="C201" i="1"/>
  <c r="B201" i="1"/>
  <c r="E201" i="1" s="1"/>
  <c r="C169" i="1"/>
  <c r="B169" i="1"/>
  <c r="E169" i="1" s="1"/>
  <c r="C104" i="1"/>
  <c r="B104" i="1"/>
  <c r="E104" i="1" s="1"/>
  <c r="C131" i="1"/>
  <c r="B131" i="1"/>
  <c r="E131" i="1" s="1"/>
  <c r="B73" i="1"/>
  <c r="E73" i="1" s="1"/>
  <c r="A73" i="1"/>
  <c r="E13" i="1"/>
  <c r="C13" i="1"/>
  <c r="B84" i="1"/>
  <c r="E84" i="1" s="1"/>
  <c r="A84" i="1"/>
  <c r="D49" i="1"/>
  <c r="C49" i="1"/>
  <c r="D61" i="1"/>
  <c r="C61" i="1"/>
  <c r="D38" i="1"/>
  <c r="C38" i="1"/>
  <c r="F131" i="1" l="1"/>
  <c r="D131" i="1"/>
  <c r="F104" i="1"/>
  <c r="D104" i="1"/>
  <c r="F169" i="1"/>
  <c r="D169" i="1" s="1"/>
  <c r="F201" i="1"/>
  <c r="D201" i="1" s="1"/>
  <c r="I186" i="1"/>
  <c r="J186" i="1" s="1"/>
  <c r="G186" i="1"/>
  <c r="H186" i="1" s="1"/>
  <c r="F61" i="1"/>
  <c r="H61" i="1"/>
  <c r="F49" i="1"/>
  <c r="H49" i="1"/>
  <c r="G13" i="1"/>
  <c r="F38" i="1"/>
  <c r="G38" i="1" s="1"/>
  <c r="H38" i="1"/>
  <c r="G61" i="1"/>
  <c r="G49" i="1"/>
  <c r="D84" i="1"/>
  <c r="C84" i="1"/>
  <c r="H13" i="1"/>
  <c r="F13" i="1"/>
  <c r="D73" i="1"/>
  <c r="C73" i="1"/>
  <c r="I201" i="1" l="1"/>
  <c r="J201" i="1" s="1"/>
  <c r="G201" i="1"/>
  <c r="H201" i="1" s="1"/>
  <c r="G169" i="1"/>
  <c r="H169" i="1" s="1"/>
  <c r="I169" i="1"/>
  <c r="J169" i="1" s="1"/>
  <c r="C187" i="1"/>
  <c r="B187" i="1"/>
  <c r="E187" i="1" s="1"/>
  <c r="G104" i="1"/>
  <c r="H104" i="1" s="1"/>
  <c r="I104" i="1"/>
  <c r="J104" i="1" s="1"/>
  <c r="I131" i="1"/>
  <c r="J131" i="1" s="1"/>
  <c r="G131" i="1"/>
  <c r="H131" i="1" s="1"/>
  <c r="B39" i="1"/>
  <c r="E39" i="1" s="1"/>
  <c r="A39" i="1"/>
  <c r="F84" i="1"/>
  <c r="H84" i="1"/>
  <c r="B62" i="1"/>
  <c r="E62" i="1" s="1"/>
  <c r="A62" i="1"/>
  <c r="B50" i="1"/>
  <c r="E50" i="1" s="1"/>
  <c r="A50" i="1"/>
  <c r="G84" i="1"/>
  <c r="B14" i="1"/>
  <c r="D14" i="1" s="1"/>
  <c r="A14" i="1"/>
  <c r="F73" i="1"/>
  <c r="G73" i="1" s="1"/>
  <c r="H73" i="1"/>
  <c r="C132" i="1" l="1"/>
  <c r="B132" i="1"/>
  <c r="E132" i="1" s="1"/>
  <c r="C105" i="1"/>
  <c r="B105" i="1"/>
  <c r="E105" i="1" s="1"/>
  <c r="F187" i="1"/>
  <c r="D187" i="1" s="1"/>
  <c r="C170" i="1"/>
  <c r="B170" i="1"/>
  <c r="E170" i="1" s="1"/>
  <c r="C202" i="1"/>
  <c r="B202" i="1"/>
  <c r="E202" i="1" s="1"/>
  <c r="B74" i="1"/>
  <c r="E74" i="1" s="1"/>
  <c r="A74" i="1"/>
  <c r="E14" i="1"/>
  <c r="C14" i="1"/>
  <c r="B85" i="1"/>
  <c r="E85" i="1" s="1"/>
  <c r="A85" i="1"/>
  <c r="D62" i="1"/>
  <c r="C62" i="1"/>
  <c r="D50" i="1"/>
  <c r="C50" i="1"/>
  <c r="D39" i="1"/>
  <c r="C39" i="1"/>
  <c r="I187" i="1" l="1"/>
  <c r="J187" i="1" s="1"/>
  <c r="G187" i="1"/>
  <c r="H187" i="1" s="1"/>
  <c r="F105" i="1"/>
  <c r="D105" i="1" s="1"/>
  <c r="F202" i="1"/>
  <c r="D202" i="1"/>
  <c r="F170" i="1"/>
  <c r="D170" i="1"/>
  <c r="F132" i="1"/>
  <c r="D132" i="1" s="1"/>
  <c r="F50" i="1"/>
  <c r="H50" i="1"/>
  <c r="F14" i="1"/>
  <c r="H14" i="1"/>
  <c r="F39" i="1"/>
  <c r="G39" i="1" s="1"/>
  <c r="H39" i="1"/>
  <c r="G14" i="1"/>
  <c r="D74" i="1"/>
  <c r="C74" i="1"/>
  <c r="G50" i="1"/>
  <c r="F62" i="1"/>
  <c r="G62" i="1" s="1"/>
  <c r="H62" i="1"/>
  <c r="D85" i="1"/>
  <c r="C85" i="1"/>
  <c r="I132" i="1" l="1"/>
  <c r="J132" i="1" s="1"/>
  <c r="G132" i="1"/>
  <c r="H132" i="1" s="1"/>
  <c r="I105" i="1"/>
  <c r="J105" i="1" s="1"/>
  <c r="G105" i="1"/>
  <c r="H105" i="1" s="1"/>
  <c r="G202" i="1"/>
  <c r="H202" i="1" s="1"/>
  <c r="I202" i="1"/>
  <c r="J202" i="1" s="1"/>
  <c r="C188" i="1"/>
  <c r="B188" i="1"/>
  <c r="E188" i="1" s="1"/>
  <c r="I170" i="1"/>
  <c r="J170" i="1" s="1"/>
  <c r="G170" i="1"/>
  <c r="H170" i="1" s="1"/>
  <c r="B63" i="1"/>
  <c r="E63" i="1" s="1"/>
  <c r="A63" i="1"/>
  <c r="B40" i="1"/>
  <c r="E40" i="1" s="1"/>
  <c r="A40" i="1"/>
  <c r="F74" i="1"/>
  <c r="H74" i="1"/>
  <c r="B51" i="1"/>
  <c r="E51" i="1" s="1"/>
  <c r="A51" i="1"/>
  <c r="B15" i="1"/>
  <c r="D15" i="1" s="1"/>
  <c r="A15" i="1"/>
  <c r="G74" i="1"/>
  <c r="F85" i="1"/>
  <c r="H85" i="1"/>
  <c r="G85" i="1"/>
  <c r="B171" i="1" l="1"/>
  <c r="E171" i="1" s="1"/>
  <c r="C171" i="1"/>
  <c r="C203" i="1"/>
  <c r="B203" i="1"/>
  <c r="E203" i="1" s="1"/>
  <c r="C133" i="1"/>
  <c r="B133" i="1"/>
  <c r="E133" i="1" s="1"/>
  <c r="F188" i="1"/>
  <c r="D188" i="1"/>
  <c r="C106" i="1"/>
  <c r="B106" i="1"/>
  <c r="E106" i="1" s="1"/>
  <c r="B75" i="1"/>
  <c r="E75" i="1" s="1"/>
  <c r="A75" i="1"/>
  <c r="D40" i="1"/>
  <c r="C40" i="1"/>
  <c r="D51" i="1"/>
  <c r="C51" i="1"/>
  <c r="B86" i="1"/>
  <c r="E86" i="1" s="1"/>
  <c r="A86" i="1"/>
  <c r="E15" i="1"/>
  <c r="C15" i="1"/>
  <c r="D63" i="1"/>
  <c r="C63" i="1"/>
  <c r="F106" i="1" l="1"/>
  <c r="D106" i="1" s="1"/>
  <c r="G188" i="1"/>
  <c r="H188" i="1" s="1"/>
  <c r="I188" i="1"/>
  <c r="J188" i="1" s="1"/>
  <c r="F133" i="1"/>
  <c r="D133" i="1"/>
  <c r="F203" i="1"/>
  <c r="D203" i="1"/>
  <c r="F171" i="1"/>
  <c r="D171" i="1" s="1"/>
  <c r="F63" i="1"/>
  <c r="H63" i="1"/>
  <c r="G63" i="1"/>
  <c r="H15" i="1"/>
  <c r="F15" i="1"/>
  <c r="G15" i="1" s="1"/>
  <c r="D86" i="1"/>
  <c r="C86" i="1"/>
  <c r="F51" i="1"/>
  <c r="G51" i="1" s="1"/>
  <c r="H51" i="1"/>
  <c r="F40" i="1"/>
  <c r="H40" i="1"/>
  <c r="G40" i="1"/>
  <c r="D75" i="1"/>
  <c r="C75" i="1"/>
  <c r="I171" i="1" l="1"/>
  <c r="J171" i="1" s="1"/>
  <c r="G171" i="1"/>
  <c r="H171" i="1" s="1"/>
  <c r="I106" i="1"/>
  <c r="J106" i="1" s="1"/>
  <c r="G106" i="1"/>
  <c r="H106" i="1" s="1"/>
  <c r="I203" i="1"/>
  <c r="J203" i="1" s="1"/>
  <c r="G203" i="1"/>
  <c r="H203" i="1" s="1"/>
  <c r="G133" i="1"/>
  <c r="H133" i="1" s="1"/>
  <c r="I133" i="1"/>
  <c r="J133" i="1" s="1"/>
  <c r="B189" i="1"/>
  <c r="E189" i="1" s="1"/>
  <c r="C189" i="1"/>
  <c r="B16" i="1"/>
  <c r="D16" i="1" s="1"/>
  <c r="A16" i="1"/>
  <c r="F75" i="1"/>
  <c r="G75" i="1" s="1"/>
  <c r="H75" i="1"/>
  <c r="F86" i="1"/>
  <c r="H86" i="1"/>
  <c r="G86" i="1"/>
  <c r="B134" i="1" l="1"/>
  <c r="E134" i="1" s="1"/>
  <c r="C134" i="1"/>
  <c r="C172" i="1"/>
  <c r="B172" i="1"/>
  <c r="E172" i="1" s="1"/>
  <c r="F189" i="1"/>
  <c r="D189" i="1" s="1"/>
  <c r="C204" i="1"/>
  <c r="B204" i="1"/>
  <c r="E204" i="1" s="1"/>
  <c r="C107" i="1"/>
  <c r="B107" i="1"/>
  <c r="E107" i="1" s="1"/>
  <c r="E16" i="1"/>
  <c r="C16" i="1"/>
  <c r="I189" i="1" l="1"/>
  <c r="J189" i="1" s="1"/>
  <c r="G189" i="1"/>
  <c r="H189" i="1" s="1"/>
  <c r="F107" i="1"/>
  <c r="D107" i="1"/>
  <c r="F204" i="1"/>
  <c r="D204" i="1" s="1"/>
  <c r="F172" i="1"/>
  <c r="D172" i="1"/>
  <c r="F134" i="1"/>
  <c r="D134" i="1"/>
  <c r="F16" i="1"/>
  <c r="G16" i="1" s="1"/>
  <c r="H16" i="1"/>
  <c r="I204" i="1" l="1"/>
  <c r="J204" i="1" s="1"/>
  <c r="G204" i="1"/>
  <c r="H204" i="1" s="1"/>
  <c r="I172" i="1"/>
  <c r="J172" i="1" s="1"/>
  <c r="G172" i="1"/>
  <c r="H172" i="1" s="1"/>
  <c r="G107" i="1"/>
  <c r="H107" i="1" s="1"/>
  <c r="I107" i="1"/>
  <c r="J107" i="1" s="1"/>
  <c r="I134" i="1"/>
  <c r="J134" i="1" s="1"/>
  <c r="G134" i="1"/>
  <c r="H134" i="1" s="1"/>
  <c r="C190" i="1"/>
  <c r="B190" i="1"/>
  <c r="E190" i="1" s="1"/>
  <c r="B17" i="1"/>
  <c r="D17" i="1" s="1"/>
  <c r="A17" i="1"/>
  <c r="F190" i="1" l="1"/>
  <c r="D190" i="1"/>
  <c r="C135" i="1"/>
  <c r="B135" i="1"/>
  <c r="E135" i="1" s="1"/>
  <c r="B108" i="1"/>
  <c r="E108" i="1" s="1"/>
  <c r="C108" i="1"/>
  <c r="C205" i="1"/>
  <c r="B205" i="1"/>
  <c r="E205" i="1" s="1"/>
  <c r="C173" i="1"/>
  <c r="B173" i="1"/>
  <c r="E173" i="1" s="1"/>
  <c r="E17" i="1"/>
  <c r="C17" i="1"/>
  <c r="F205" i="1" l="1"/>
  <c r="D205" i="1"/>
  <c r="F173" i="1"/>
  <c r="D173" i="1" s="1"/>
  <c r="I190" i="1"/>
  <c r="J190" i="1" s="1"/>
  <c r="G190" i="1"/>
  <c r="H190" i="1" s="1"/>
  <c r="F108" i="1"/>
  <c r="D108" i="1" s="1"/>
  <c r="F135" i="1"/>
  <c r="D135" i="1" s="1"/>
  <c r="H17" i="1"/>
  <c r="F17" i="1"/>
  <c r="G17" i="1" s="1"/>
  <c r="I135" i="1" l="1"/>
  <c r="J135" i="1" s="1"/>
  <c r="G135" i="1"/>
  <c r="H135" i="1" s="1"/>
  <c r="I108" i="1"/>
  <c r="J108" i="1" s="1"/>
  <c r="G108" i="1"/>
  <c r="H108" i="1" s="1"/>
  <c r="I173" i="1"/>
  <c r="J173" i="1" s="1"/>
  <c r="G173" i="1"/>
  <c r="H173" i="1" s="1"/>
  <c r="C191" i="1"/>
  <c r="B191" i="1"/>
  <c r="E191" i="1" s="1"/>
  <c r="I205" i="1"/>
  <c r="J205" i="1" s="1"/>
  <c r="G205" i="1"/>
  <c r="H205" i="1" s="1"/>
  <c r="C206" i="1" l="1"/>
  <c r="B206" i="1"/>
  <c r="E206" i="1" s="1"/>
  <c r="F191" i="1"/>
  <c r="D191" i="1"/>
  <c r="C174" i="1"/>
  <c r="B174" i="1"/>
  <c r="E174" i="1" s="1"/>
  <c r="C109" i="1"/>
  <c r="B109" i="1"/>
  <c r="E109" i="1" s="1"/>
  <c r="C136" i="1"/>
  <c r="B136" i="1"/>
  <c r="E136" i="1" s="1"/>
  <c r="F109" i="1" l="1"/>
  <c r="D109" i="1" s="1"/>
  <c r="I191" i="1"/>
  <c r="J191" i="1" s="1"/>
  <c r="G191" i="1"/>
  <c r="H191" i="1" s="1"/>
  <c r="F136" i="1"/>
  <c r="D136" i="1"/>
  <c r="F174" i="1"/>
  <c r="D174" i="1"/>
  <c r="F206" i="1"/>
  <c r="D206" i="1" s="1"/>
  <c r="G206" i="1" l="1"/>
  <c r="H206" i="1" s="1"/>
  <c r="I206" i="1"/>
  <c r="J206" i="1" s="1"/>
  <c r="I109" i="1"/>
  <c r="J109" i="1" s="1"/>
  <c r="G109" i="1"/>
  <c r="H109" i="1" s="1"/>
  <c r="G174" i="1"/>
  <c r="H174" i="1" s="1"/>
  <c r="I174" i="1"/>
  <c r="J174" i="1" s="1"/>
  <c r="I136" i="1"/>
  <c r="J136" i="1" s="1"/>
  <c r="G136" i="1"/>
  <c r="H136" i="1" s="1"/>
  <c r="C192" i="1"/>
  <c r="B192" i="1"/>
  <c r="E192" i="1" s="1"/>
  <c r="F192" i="1" l="1"/>
  <c r="D192" i="1" s="1"/>
  <c r="C137" i="1"/>
  <c r="B137" i="1"/>
  <c r="E137" i="1" s="1"/>
  <c r="B175" i="1"/>
  <c r="E175" i="1" s="1"/>
  <c r="C175" i="1"/>
  <c r="C110" i="1"/>
  <c r="B110" i="1"/>
  <c r="E110" i="1" s="1"/>
  <c r="C207" i="1"/>
  <c r="B207" i="1"/>
  <c r="E207" i="1" s="1"/>
  <c r="G192" i="1" l="1"/>
  <c r="H192" i="1" s="1"/>
  <c r="I192" i="1"/>
  <c r="J192" i="1" s="1"/>
  <c r="F207" i="1"/>
  <c r="D207" i="1" s="1"/>
  <c r="F110" i="1"/>
  <c r="D110" i="1"/>
  <c r="F175" i="1"/>
  <c r="D175" i="1"/>
  <c r="F137" i="1"/>
  <c r="D137" i="1" s="1"/>
  <c r="G137" i="1" l="1"/>
  <c r="H137" i="1" s="1"/>
  <c r="I137" i="1"/>
  <c r="J137" i="1" s="1"/>
  <c r="I207" i="1"/>
  <c r="J207" i="1" s="1"/>
  <c r="G207" i="1"/>
  <c r="H207" i="1" s="1"/>
  <c r="I110" i="1"/>
  <c r="J110" i="1" s="1"/>
  <c r="G110" i="1"/>
  <c r="H110" i="1" s="1"/>
  <c r="I175" i="1"/>
  <c r="J175" i="1" s="1"/>
  <c r="G175" i="1"/>
  <c r="H175" i="1" s="1"/>
  <c r="C138" i="1" l="1"/>
  <c r="B138" i="1"/>
  <c r="E138" i="1" s="1"/>
  <c r="F138" i="1" l="1"/>
  <c r="D138" i="1"/>
  <c r="I138" i="1" l="1"/>
  <c r="J138" i="1" s="1"/>
  <c r="G138" i="1"/>
  <c r="H138" i="1" s="1"/>
  <c r="C139" i="1" l="1"/>
  <c r="B139" i="1"/>
  <c r="E139" i="1" s="1"/>
  <c r="F139" i="1" l="1"/>
  <c r="D139" i="1" s="1"/>
  <c r="I139" i="1" l="1"/>
  <c r="J139" i="1" s="1"/>
  <c r="G139" i="1"/>
  <c r="H139" i="1" s="1"/>
  <c r="C140" i="1" l="1"/>
  <c r="B140" i="1"/>
  <c r="E140" i="1" s="1"/>
  <c r="F140" i="1" l="1"/>
  <c r="D140" i="1" s="1"/>
  <c r="G140" i="1" l="1"/>
  <c r="H140" i="1" s="1"/>
  <c r="I140" i="1"/>
  <c r="J140" i="1" s="1"/>
  <c r="B141" i="1" l="1"/>
  <c r="E141" i="1" s="1"/>
  <c r="C141" i="1"/>
  <c r="F141" i="1" l="1"/>
  <c r="D141" i="1" s="1"/>
  <c r="I141" i="1" l="1"/>
  <c r="J141" i="1" s="1"/>
  <c r="G141" i="1"/>
  <c r="H141" i="1" s="1"/>
  <c r="C142" i="1" l="1"/>
  <c r="B142" i="1"/>
  <c r="E142" i="1" s="1"/>
  <c r="F142" i="1" l="1"/>
  <c r="D142" i="1"/>
  <c r="I142" i="1" l="1"/>
  <c r="J142" i="1" s="1"/>
  <c r="G142" i="1"/>
  <c r="H142" i="1" s="1"/>
  <c r="C143" i="1" l="1"/>
  <c r="B143" i="1"/>
  <c r="E143" i="1" s="1"/>
  <c r="F143" i="1" l="1"/>
  <c r="D143" i="1"/>
  <c r="I143" i="1" l="1"/>
  <c r="J143" i="1" s="1"/>
  <c r="G143" i="1"/>
  <c r="H143" i="1" s="1"/>
  <c r="C144" i="1" l="1"/>
  <c r="B144" i="1"/>
  <c r="E144" i="1" s="1"/>
  <c r="F144" i="1" l="1"/>
  <c r="D144" i="1" s="1"/>
  <c r="G144" i="1" l="1"/>
  <c r="H144" i="1" s="1"/>
  <c r="I144" i="1"/>
  <c r="J144" i="1" s="1"/>
  <c r="C145" i="1" l="1"/>
  <c r="B145" i="1"/>
  <c r="E145" i="1" s="1"/>
  <c r="F145" i="1" l="1"/>
  <c r="D145" i="1"/>
  <c r="I145" i="1" l="1"/>
  <c r="J145" i="1" s="1"/>
  <c r="G145" i="1"/>
  <c r="H145" i="1" s="1"/>
  <c r="B146" i="1" l="1"/>
  <c r="E146" i="1" s="1"/>
  <c r="C146" i="1"/>
  <c r="F146" i="1" l="1"/>
  <c r="D146" i="1" s="1"/>
  <c r="I146" i="1" l="1"/>
  <c r="J146" i="1" s="1"/>
  <c r="G146" i="1"/>
  <c r="H146" i="1" s="1"/>
  <c r="C147" i="1" l="1"/>
  <c r="B147" i="1"/>
  <c r="E147" i="1" s="1"/>
  <c r="F147" i="1" l="1"/>
  <c r="D147" i="1"/>
  <c r="I147" i="1" l="1"/>
  <c r="J147" i="1" s="1"/>
  <c r="G147" i="1"/>
  <c r="H147" i="1" s="1"/>
  <c r="C148" i="1" l="1"/>
  <c r="B148" i="1"/>
  <c r="E148" i="1" s="1"/>
  <c r="F148" i="1" l="1"/>
  <c r="D148" i="1" s="1"/>
  <c r="I148" i="1" l="1"/>
  <c r="J148" i="1" s="1"/>
  <c r="G148" i="1"/>
  <c r="H148" i="1" s="1"/>
  <c r="C149" i="1" l="1"/>
  <c r="B149" i="1"/>
  <c r="E149" i="1" s="1"/>
  <c r="F149" i="1" l="1"/>
  <c r="D149" i="1"/>
  <c r="G149" i="1" l="1"/>
  <c r="H149" i="1" s="1"/>
  <c r="I149" i="1"/>
  <c r="J149" i="1" s="1"/>
  <c r="B150" i="1" l="1"/>
  <c r="E150" i="1" s="1"/>
  <c r="C150" i="1"/>
  <c r="F150" i="1" l="1"/>
  <c r="D150" i="1" s="1"/>
  <c r="I150" i="1" l="1"/>
  <c r="J150" i="1" s="1"/>
  <c r="G150" i="1"/>
  <c r="H150" i="1" s="1"/>
  <c r="C151" i="1" l="1"/>
  <c r="B151" i="1"/>
  <c r="E151" i="1" s="1"/>
  <c r="F151" i="1" l="1"/>
  <c r="D151" i="1" s="1"/>
  <c r="I151" i="1" l="1"/>
  <c r="J151" i="1" s="1"/>
  <c r="G151" i="1"/>
  <c r="H151" i="1" s="1"/>
  <c r="C152" i="1" l="1"/>
  <c r="B152" i="1"/>
  <c r="E152" i="1" s="1"/>
  <c r="F152" i="1" l="1"/>
  <c r="D152" i="1"/>
  <c r="I152" i="1" l="1"/>
  <c r="J152" i="1" s="1"/>
  <c r="G152" i="1"/>
  <c r="H152" i="1" s="1"/>
  <c r="C153" i="1" l="1"/>
  <c r="B153" i="1"/>
  <c r="E153" i="1" s="1"/>
  <c r="F153" i="1" l="1"/>
  <c r="D153" i="1"/>
  <c r="G153" i="1" l="1"/>
  <c r="H153" i="1" s="1"/>
  <c r="I153" i="1"/>
  <c r="J153" i="1" s="1"/>
  <c r="C154" i="1" l="1"/>
  <c r="B154" i="1"/>
  <c r="E154" i="1" s="1"/>
  <c r="F154" i="1" l="1"/>
  <c r="D154" i="1"/>
  <c r="I154" i="1" l="1"/>
  <c r="J154" i="1" s="1"/>
  <c r="G154" i="1"/>
  <c r="H154" i="1" s="1"/>
  <c r="C155" i="1" l="1"/>
  <c r="B155" i="1"/>
  <c r="E155" i="1" s="1"/>
  <c r="F155" i="1" l="1"/>
  <c r="D155" i="1" s="1"/>
  <c r="I155" i="1" l="1"/>
  <c r="J155" i="1" s="1"/>
  <c r="G155" i="1"/>
  <c r="H155" i="1" s="1"/>
  <c r="C156" i="1" l="1"/>
  <c r="B156" i="1"/>
  <c r="E156" i="1" s="1"/>
  <c r="F156" i="1" l="1"/>
  <c r="D156" i="1"/>
  <c r="G156" i="1" l="1"/>
  <c r="H156" i="1" s="1"/>
  <c r="I156" i="1"/>
  <c r="J156" i="1" s="1"/>
</calcChain>
</file>

<file path=xl/sharedStrings.xml><?xml version="1.0" encoding="utf-8"?>
<sst xmlns="http://schemas.openxmlformats.org/spreadsheetml/2006/main" count="236" uniqueCount="82">
  <si>
    <t>Biseccion</t>
  </si>
  <si>
    <t>a</t>
  </si>
  <si>
    <t>b</t>
  </si>
  <si>
    <t>f(a)</t>
  </si>
  <si>
    <t>f(b)</t>
  </si>
  <si>
    <t>mitad</t>
  </si>
  <si>
    <t>fmitad</t>
  </si>
  <si>
    <t>f(a)*f(mitad)</t>
  </si>
  <si>
    <t>e=vm-vr/vr</t>
  </si>
  <si>
    <t>Funcion</t>
  </si>
  <si>
    <t>x^3-3x^2-5</t>
  </si>
  <si>
    <t>Tolerancia</t>
  </si>
  <si>
    <t xml:space="preserve">mitad es </t>
  </si>
  <si>
    <t>formula de la biseccion</t>
  </si>
  <si>
    <t>=</t>
  </si>
  <si>
    <t>a+b/2</t>
  </si>
  <si>
    <t>ejemplo 2</t>
  </si>
  <si>
    <t xml:space="preserve">ecuacion </t>
  </si>
  <si>
    <t>x^2+7x</t>
  </si>
  <si>
    <t xml:space="preserve">xi </t>
  </si>
  <si>
    <t>xu</t>
  </si>
  <si>
    <t>xr</t>
  </si>
  <si>
    <t>f(xi)</t>
  </si>
  <si>
    <t>f(xu)</t>
  </si>
  <si>
    <t>f(xr)</t>
  </si>
  <si>
    <t>f(xi)*f(xr)</t>
  </si>
  <si>
    <t>error</t>
  </si>
  <si>
    <t>x^2+x+1</t>
  </si>
  <si>
    <t>$f(x) = x^3 - x - 1 = 0$</t>
  </si>
  <si>
    <t>f(x)=x^2.-2</t>
  </si>
  <si>
    <t>$f(x) = x^2 + 2x - 8 = 0$</t>
  </si>
  <si>
    <t>Regla flasa</t>
  </si>
  <si>
    <t>iteracion</t>
  </si>
  <si>
    <t>Error en porcentaje</t>
  </si>
  <si>
    <t>abs</t>
  </si>
  <si>
    <t>val nuevo-val antuguo</t>
  </si>
  <si>
    <t>val nuevo</t>
  </si>
  <si>
    <t>regla falsa</t>
  </si>
  <si>
    <t xml:space="preserve"> </t>
  </si>
  <si>
    <t xml:space="preserve">xr es la </t>
  </si>
  <si>
    <t>formula de regla falsa</t>
  </si>
  <si>
    <t>xu-</t>
  </si>
  <si>
    <t>f(xu)*(xi-xu)</t>
  </si>
  <si>
    <t>f(xi)-f(xu)</t>
  </si>
  <si>
    <t xml:space="preserve">Para que se pueda realizar se necesita cumplir con </t>
  </si>
  <si>
    <t>f(a)*f(b)&lt;0</t>
  </si>
  <si>
    <t>x^3-x-2</t>
  </si>
  <si>
    <t xml:space="preserve">$f(x) = x^3 - x - 1 </t>
  </si>
  <si>
    <t>Newton</t>
  </si>
  <si>
    <t>newton</t>
  </si>
  <si>
    <t>x(n)</t>
  </si>
  <si>
    <t>f(xn)</t>
  </si>
  <si>
    <t>f`(xn)</t>
  </si>
  <si>
    <t>xi+1</t>
  </si>
  <si>
    <t xml:space="preserve">funcion </t>
  </si>
  <si>
    <t>x^2-2</t>
  </si>
  <si>
    <t>derivada</t>
  </si>
  <si>
    <t>2x</t>
  </si>
  <si>
    <t>xn</t>
  </si>
  <si>
    <t>f'(xn)</t>
  </si>
  <si>
    <t>x(0)</t>
  </si>
  <si>
    <t>x^3-x-1</t>
  </si>
  <si>
    <t>3x^2-1</t>
  </si>
  <si>
    <t>$f(x) = x^3 - x = 0$</t>
  </si>
  <si>
    <t>f'(x)=</t>
  </si>
  <si>
    <t>2x+2</t>
  </si>
  <si>
    <t>Secante</t>
  </si>
  <si>
    <t>Iteracion</t>
  </si>
  <si>
    <t>xi-1</t>
  </si>
  <si>
    <t>xi</t>
  </si>
  <si>
    <t>f(xi-1)</t>
  </si>
  <si>
    <t>xi-1(nuevo)</t>
  </si>
  <si>
    <t>Error</t>
  </si>
  <si>
    <t xml:space="preserve">secante </t>
  </si>
  <si>
    <t>xi-</t>
  </si>
  <si>
    <t>f(xi)*(xi-xi-1)</t>
  </si>
  <si>
    <t>f(xi)-f(xi-1)</t>
  </si>
  <si>
    <t>f(xi​)⋅f(xu​)&lt;0</t>
  </si>
  <si>
    <t>ej nuevo</t>
  </si>
  <si>
    <t>xi-1nuevo</t>
  </si>
  <si>
    <t>func</t>
  </si>
  <si>
    <t>x^2+x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</si>
</sst>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0" xfId="0" applyFont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Porcentaje" xfId="1" builtinId="5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992DC-F1BE-47C6-AD92-393171B87EA1}" name="Tabla2" displayName="Tabla2" ref="K11:L15" totalsRowShown="0">
  <autoFilter ref="K11:L15" xr:uid="{15C992DC-F1BE-47C6-AD92-393171B87EA1}"/>
  <tableColumns count="2">
    <tableColumn id="1" xr3:uid="{88C725A9-1CDF-406D-BE98-65BE6EDBBFD0}" name="Funcion"/>
    <tableColumn id="2" xr3:uid="{550FB0FE-A4BE-43A4-99D2-48FD06F7C3A8}" name="x^3-3x^2-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B2DAB-B2E2-411B-A6B7-83DAA53A77DB}" name="Tabla3" displayName="Tabla3" ref="A7:H17" totalsRowShown="0">
  <autoFilter ref="A7:H17" xr:uid="{A92B2DAB-B2E2-411B-A6B7-83DAA53A77DB}"/>
  <tableColumns count="8">
    <tableColumn id="1" xr3:uid="{E392E3EA-17AE-44C3-958C-278D8D75AE6D}" name="a"/>
    <tableColumn id="2" xr3:uid="{66769524-E99B-48BC-BCF6-CCEB32856A58}" name="b"/>
    <tableColumn id="3" xr3:uid="{4B20EB99-FE0D-4AF8-90B0-2B47243217E1}" name="f(a)" dataDxfId="91">
      <calculatedColumnFormula>(Tabla3[[#This Row],[a]]^3)-(3*(Tabla3[[#This Row],[a]]^2))-5</calculatedColumnFormula>
    </tableColumn>
    <tableColumn id="4" xr3:uid="{5D7B1CDE-59A4-4B86-A873-715B66F6C4F1}" name="f(b)" dataDxfId="90">
      <calculatedColumnFormula>(Tabla3[[#This Row],[b]]^3)-(3*(Tabla3[[#This Row],[b]]^2))-5</calculatedColumnFormula>
    </tableColumn>
    <tableColumn id="5" xr3:uid="{908DBE1A-03D1-4AF0-B5F1-C9418BC22D70}" name="mitad" dataDxfId="89">
      <calculatedColumnFormula>(Tabla3[[#This Row],[a]]+Tabla3[[#This Row],[b]])/2</calculatedColumnFormula>
    </tableColumn>
    <tableColumn id="6" xr3:uid="{5A6BAD9E-8B3F-4A11-BD08-00ED792172E0}" name="fmitad" dataDxfId="88">
      <calculatedColumnFormula>(Tabla3[[#This Row],[mitad]]^3)-(3*(Tabla3[[#This Row],[mitad]]^2))-5</calculatedColumnFormula>
    </tableColumn>
    <tableColumn id="7" xr3:uid="{78C7271A-698B-4904-8835-B4C6EBB86654}" name="f(a)*f(mitad)" dataDxfId="87">
      <calculatedColumnFormula>Tabla3[[#This Row],[f(a)]]*Tabla3[[#This Row],[fmitad]]</calculatedColumnFormula>
    </tableColumn>
    <tableColumn id="8" xr3:uid="{99AC231A-F5A4-4E9C-98EB-57D0BB92FFEB}" name="e=vm-vr/vr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95350-DB37-4FA9-880E-3FC53687098B}" name="Tabla1" displayName="Tabla1" ref="A32:H40" totalsRowShown="0">
  <autoFilter ref="A32:H40" xr:uid="{72895350-DB37-4FA9-880E-3FC53687098B}"/>
  <tableColumns count="8">
    <tableColumn id="1" xr3:uid="{D2AB15BF-78BA-4ADF-800A-F245542DDB16}" name="xi "/>
    <tableColumn id="2" xr3:uid="{EB1A3CA0-ABF7-495F-B2F8-A2F811C93352}" name="xu"/>
    <tableColumn id="3" xr3:uid="{3E075D43-EC90-4D52-B4E0-3A58158C7C55}" name="xr">
      <calculatedColumnFormula>(A33+B33)/2</calculatedColumnFormula>
    </tableColumn>
    <tableColumn id="4" xr3:uid="{D3B1B7E6-69E0-46E0-A462-B94E6EC83442}" name="f(xi)">
      <calculatedColumnFormula>(A33^2)+7*A33</calculatedColumnFormula>
    </tableColumn>
    <tableColumn id="5" xr3:uid="{8F1327DA-0BE5-4E5D-9E2F-B321981CE2E1}" name="f(xu)">
      <calculatedColumnFormula>(B33^2)+7*B33</calculatedColumnFormula>
    </tableColumn>
    <tableColumn id="6" xr3:uid="{A91D123D-5631-42A7-A709-C35CBD962829}" name="f(xr)">
      <calculatedColumnFormula>(C33^2)+7*C33</calculatedColumnFormula>
    </tableColumn>
    <tableColumn id="7" xr3:uid="{912FB2C5-482E-4F16-ABA9-49B58569BB7B}" name="f(xi)*f(xr)">
      <calculatedColumnFormula>D33*F33</calculatedColumnFormula>
    </tableColumn>
    <tableColumn id="8" xr3:uid="{4707D243-0CA1-4261-B7D6-DF843BA40131}" name="error" dataDxfId="86">
      <calculatedColumnFormula>ABS((C32-Tabla1[[#This Row],[xr]])/Tabla1[[#This Row],[xr]])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5BE99F-8FD2-4574-BB8B-34EB9FA66CE4}" name="Tabla17" displayName="Tabla17" ref="A43:H51" totalsRowShown="0">
  <autoFilter ref="A43:H51" xr:uid="{7B5BE99F-8FD2-4574-BB8B-34EB9FA66CE4}"/>
  <tableColumns count="8">
    <tableColumn id="1" xr3:uid="{E5A510D9-B848-493F-A24C-F491128D8929}" name="xi "/>
    <tableColumn id="2" xr3:uid="{BDAE62FC-1239-45C2-A58C-7B1B0094DF79}" name="xu"/>
    <tableColumn id="3" xr3:uid="{ADE77E1C-69DE-4269-8A53-575618F814CE}" name="xr">
      <calculatedColumnFormula>(A44+B44)/2</calculatedColumnFormula>
    </tableColumn>
    <tableColumn id="4" xr3:uid="{864F979A-D195-438A-83E0-CB240248109C}" name="f(xi)" dataDxfId="85">
      <calculatedColumnFormula>(A44^2)+A44+1</calculatedColumnFormula>
    </tableColumn>
    <tableColumn id="5" xr3:uid="{4B149B12-FB00-4892-936E-6D11F472D367}" name="f(xu)" dataDxfId="84">
      <calculatedColumnFormula>(B44^2)+B44+1</calculatedColumnFormula>
    </tableColumn>
    <tableColumn id="6" xr3:uid="{7D8251C4-4AF1-4389-A8E5-9AFFF331EB04}" name="f(xr)" dataDxfId="83">
      <calculatedColumnFormula>(C44^2)+C44+1</calculatedColumnFormula>
    </tableColumn>
    <tableColumn id="7" xr3:uid="{4147A38E-4586-4F28-AB32-646F921F4978}" name="f(xi)*f(xr)">
      <calculatedColumnFormula>D44*F44</calculatedColumnFormula>
    </tableColumn>
    <tableColumn id="8" xr3:uid="{B18BD213-476F-4281-A55F-EA60916833DA}" name="error" dataDxfId="82">
      <calculatedColumnFormula>ABS((C43-Tabla17[[#This Row],[xr]])/Tabla17[[#This Row],[xr]])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3896EE-EC88-444D-B66E-275C735A3B90}" name="Tabla179" displayName="Tabla179" ref="A55:H63" totalsRowShown="0">
  <autoFilter ref="A55:H63" xr:uid="{EB3896EE-EC88-444D-B66E-275C735A3B90}"/>
  <tableColumns count="8">
    <tableColumn id="1" xr3:uid="{BCE7907F-E352-4673-AEA5-E4909BCE93DC}" name="xi "/>
    <tableColumn id="2" xr3:uid="{348753FA-B1FB-4DC1-ADF2-B3DE2C6AA69B}" name="xu"/>
    <tableColumn id="3" xr3:uid="{5FCD12E5-C45D-4A7B-846E-2C32E45CB84D}" name="xr">
      <calculatedColumnFormula>(A56+B56)/2</calculatedColumnFormula>
    </tableColumn>
    <tableColumn id="4" xr3:uid="{B4A67D5A-FADD-444C-B978-4E168C624ACD}" name="f(xi)" dataDxfId="81">
      <calculatedColumnFormula>(A56^3)-A56-1</calculatedColumnFormula>
    </tableColumn>
    <tableColumn id="5" xr3:uid="{E14B470D-E805-4446-83D1-0D7B3D82B8D3}" name="f(xu)" dataDxfId="80">
      <calculatedColumnFormula>(B56^3)-B56-1</calculatedColumnFormula>
    </tableColumn>
    <tableColumn id="6" xr3:uid="{C038DDF5-1881-4F5A-BDC9-925C3BCD988D}" name="f(xr)" dataDxfId="79">
      <calculatedColumnFormula>(C56^3)-C56-1</calculatedColumnFormula>
    </tableColumn>
    <tableColumn id="7" xr3:uid="{9FDBBB7D-44BC-4C93-B8E0-C636FB129B77}" name="f(xi)*f(xr)">
      <calculatedColumnFormula>D56*F56</calculatedColumnFormula>
    </tableColumn>
    <tableColumn id="8" xr3:uid="{DE972A23-6660-4438-953E-FF50A3F80E97}" name="error" dataDxfId="78">
      <calculatedColumnFormula>ABS((C55-Tabla179[[#This Row],[xr]])/Tabla179[[#This Row],[xr]])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04ADDD-9CC2-446D-8ED1-5ECCE6C5AA6E}" name="Tabla17910" displayName="Tabla17910" ref="A67:H75" totalsRowShown="0">
  <autoFilter ref="A67:H75" xr:uid="{6B04ADDD-9CC2-446D-8ED1-5ECCE6C5AA6E}"/>
  <tableColumns count="8">
    <tableColumn id="1" xr3:uid="{4A0C0A20-C976-4D7B-81DC-63704ADABC7B}" name="xi "/>
    <tableColumn id="2" xr3:uid="{17FCCF41-36A1-4FCC-B0D4-E56F20CB3B0A}" name="xu"/>
    <tableColumn id="3" xr3:uid="{8359F430-9A53-4676-9717-29D59D9DBBA0}" name="xr">
      <calculatedColumnFormula>(A68+B68)/2</calculatedColumnFormula>
    </tableColumn>
    <tableColumn id="4" xr3:uid="{C2D97FCC-BA6E-4AA5-B527-9E7CE884460D}" name="f(xi)" dataDxfId="77">
      <calculatedColumnFormula>(A68^2)-2</calculatedColumnFormula>
    </tableColumn>
    <tableColumn id="5" xr3:uid="{C7A6BBAB-01FB-43D2-B2B1-90E936E41904}" name="f(xu)" dataDxfId="76">
      <calculatedColumnFormula>(B68^2)-2</calculatedColumnFormula>
    </tableColumn>
    <tableColumn id="6" xr3:uid="{3E6CAA53-0D4E-4899-867E-6311154DA6AF}" name="f(xr)" dataDxfId="75">
      <calculatedColumnFormula>(C68^2)-2</calculatedColumnFormula>
    </tableColumn>
    <tableColumn id="7" xr3:uid="{C9962BB1-EC8A-4457-8F9E-CDF1C1D0D0B1}" name="f(xi)*f(xr)">
      <calculatedColumnFormula>D68*F68</calculatedColumnFormula>
    </tableColumn>
    <tableColumn id="8" xr3:uid="{E016B06D-82D0-4D33-87E8-C2497295C739}" name="error" dataDxfId="74">
      <calculatedColumnFormula>ABS((C67-Tabla17910[[#This Row],[xr]])/Tabla17910[[#This Row],[xr]])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D961C4-C7E4-44EF-9B09-C02E4A3A92CB}" name="Tabla17913" displayName="Tabla17913" ref="A78:H86" totalsRowShown="0">
  <autoFilter ref="A78:H86" xr:uid="{D2D961C4-C7E4-44EF-9B09-C02E4A3A92CB}"/>
  <tableColumns count="8">
    <tableColumn id="1" xr3:uid="{D12882CC-9913-44DF-9C41-F451690685CC}" name="xi "/>
    <tableColumn id="2" xr3:uid="{C9CD7B38-5FBF-4BF6-895F-105E16CB4B7C}" name="xu"/>
    <tableColumn id="3" xr3:uid="{0592081E-F3E1-44B9-A1B2-D41E01EAC957}" name="xr">
      <calculatedColumnFormula>(A79+B79)/2</calculatedColumnFormula>
    </tableColumn>
    <tableColumn id="4" xr3:uid="{CBAE5E79-5E84-4DD3-ADCA-1F6E402F040D}" name="f(xi)" dataDxfId="73">
      <calculatedColumnFormula>(A79^2)-(2*A79)-8</calculatedColumnFormula>
    </tableColumn>
    <tableColumn id="5" xr3:uid="{6ACE7784-1F8C-4483-83F1-B2A11E40E42B}" name="f(xu)" dataDxfId="72">
      <calculatedColumnFormula>(B79^2)-(2*B79)-8</calculatedColumnFormula>
    </tableColumn>
    <tableColumn id="6" xr3:uid="{F0769C75-9F8E-42BC-B908-42DA1F708192}" name="f(xr)" dataDxfId="71">
      <calculatedColumnFormula>(C79^2)-(2*C79)-8</calculatedColumnFormula>
    </tableColumn>
    <tableColumn id="7" xr3:uid="{2525BF0F-C776-4A34-B6F8-65C20D1D1468}" name="f(xi)*f(xr)">
      <calculatedColumnFormula>D79*F79</calculatedColumnFormula>
    </tableColumn>
    <tableColumn id="8" xr3:uid="{1756EB3C-F15E-4202-8535-FD7853B5E54B}" name="error" dataDxfId="70">
      <calculatedColumnFormula>ABS((C78-Tabla17913[[#This Row],[xr]])/Tabla17913[[#This Row],[xr]])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65243C-95C0-4AA0-B016-ABEB4A19184D}" name="Tabla4" displayName="Tabla4" ref="A98:J110" totalsRowShown="0">
  <autoFilter ref="A98:J110" xr:uid="{AD65243C-95C0-4AA0-B016-ABEB4A19184D}"/>
  <tableColumns count="10">
    <tableColumn id="1" xr3:uid="{8A008648-7161-403F-86A4-86C85DAC624A}" name="iteracion"/>
    <tableColumn id="2" xr3:uid="{B0B26AC1-9BAF-4E51-A4B4-404AA1F4D409}" name="xi "/>
    <tableColumn id="3" xr3:uid="{412D4FE9-7976-4876-8B86-8D885CE64FF2}" name="xu"/>
    <tableColumn id="4" xr3:uid="{E0CA4CDF-0DCB-4F41-948C-D82666B78CA6}" name="xr" dataDxfId="69">
      <calculatedColumnFormula>C99-(F99*(B99-C99)/(E99-F99))</calculatedColumnFormula>
    </tableColumn>
    <tableColumn id="5" xr3:uid="{A102F20B-35E4-41A3-82D4-22D80BFBD45F}" name="f(xi)" dataDxfId="68">
      <calculatedColumnFormula>(B99^3)-(3*B99^2)-5</calculatedColumnFormula>
    </tableColumn>
    <tableColumn id="6" xr3:uid="{F3CB5304-1F59-45BB-8FB5-3330287650A5}" name="f(xu)" dataDxfId="67">
      <calculatedColumnFormula>(C99^3)-(3*C99^2)-5</calculatedColumnFormula>
    </tableColumn>
    <tableColumn id="7" xr3:uid="{3C70F4B5-925A-4DA0-8CB5-6B7525D9FC42}" name="f(xr)" dataDxfId="66">
      <calculatedColumnFormula>(D99^3)-(3*D99^2)-5</calculatedColumnFormula>
    </tableColumn>
    <tableColumn id="8" xr3:uid="{562C1CCC-2695-4438-9360-62A61887FEA7}" name="f(xi)*f(xr)" dataDxfId="65">
      <calculatedColumnFormula>E99*G99</calculatedColumnFormula>
    </tableColumn>
    <tableColumn id="9" xr3:uid="{9E070023-6959-4F56-98EB-AB5C28D820EC}" name="error" dataDxfId="64">
      <calculatedColumnFormula>ABS(((D99-D98)/D99)*100)</calculatedColumnFormula>
    </tableColumn>
    <tableColumn id="10" xr3:uid="{48375BBF-B71E-4BAD-88E0-39564C8808B4}" name="Error en porcentaje" dataCellStyle="Porcentaje">
      <calculatedColumnFormula>Tabla4[[#This Row],[error]]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68C261-474A-4ABD-A80D-3666A66668DF}" name="Tabla46" displayName="Tabla46" ref="A125:J156" totalsRowShown="0">
  <autoFilter ref="A125:J156" xr:uid="{DC68C261-474A-4ABD-A80D-3666A66668DF}"/>
  <tableColumns count="10">
    <tableColumn id="1" xr3:uid="{33F6FDB6-5590-4DC8-BCAF-E317248EE9F8}" name="iteracion"/>
    <tableColumn id="2" xr3:uid="{48509995-A2CE-40A3-9C7F-435D0339AB0E}" name="xi "/>
    <tableColumn id="3" xr3:uid="{8081FF17-1667-4513-BACC-F94F7B4DF7B8}" name="xu"/>
    <tableColumn id="4" xr3:uid="{50DB8E62-FBF0-49A5-8996-CA13E5E1D5A1}" name="xr" dataDxfId="63">
      <calculatedColumnFormula>C126-(F126*(B126-C126)/(E126-F126))</calculatedColumnFormula>
    </tableColumn>
    <tableColumn id="5" xr3:uid="{FC89BD9D-7D7B-4A1B-9922-9722D863B622}" name="f(xi)" dataDxfId="62">
      <calculatedColumnFormula>(B126^3)-(B126)-2</calculatedColumnFormula>
    </tableColumn>
    <tableColumn id="6" xr3:uid="{136A7213-13BC-45C1-AA3D-909D7E0D638B}" name="f(xu)" dataDxfId="61">
      <calculatedColumnFormula>(C126^3)-(C126)-2</calculatedColumnFormula>
    </tableColumn>
    <tableColumn id="7" xr3:uid="{0778AF67-25C4-4BA2-9443-348498B2322A}" name="f(xr)" dataDxfId="60">
      <calculatedColumnFormula>(D126^3)-(D126)-2</calculatedColumnFormula>
    </tableColumn>
    <tableColumn id="8" xr3:uid="{833C50E3-4BD8-42D9-9957-0A914FD8BE39}" name="f(xi)*f(xr)" dataDxfId="59">
      <calculatedColumnFormula>E126*G126</calculatedColumnFormula>
    </tableColumn>
    <tableColumn id="9" xr3:uid="{74D4F657-C750-4CA6-9C85-26C3A741A104}" name="error" dataDxfId="58">
      <calculatedColumnFormula>ABS(((D126-D125)/D126)*100)</calculatedColumnFormula>
    </tableColumn>
    <tableColumn id="10" xr3:uid="{59C4C9BC-EB01-484E-99A0-BE0F598565F1}" name="Error en porcentaje" dataCellStyle="Porcentaje">
      <calculatedColumnFormula>Tabla46[[#This Row],[error]]</calculatedColumnFormula>
    </tableColumn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6D6259-1B19-42CC-B442-C4C6651B06D5}" name="Tabla48" displayName="Tabla48" ref="A163:J175" totalsRowShown="0">
  <autoFilter ref="A163:J175" xr:uid="{2A6D6259-1B19-42CC-B442-C4C6651B06D5}"/>
  <tableColumns count="10">
    <tableColumn id="1" xr3:uid="{DBF23A8C-63BD-4C27-B405-46F9C4264B3E}" name="iteracion"/>
    <tableColumn id="2" xr3:uid="{E8E376C0-3CAF-431B-895D-6D7A337D7C96}" name="xi "/>
    <tableColumn id="3" xr3:uid="{9388AC50-AD7A-442F-BA46-73458AA2D4C9}" name="xu"/>
    <tableColumn id="4" xr3:uid="{CAB9783B-06D7-4320-8E2B-12566F096807}" name="xr" dataDxfId="57">
      <calculatedColumnFormula>C164-(F164*(B164-C164)/(E164-F164))</calculatedColumnFormula>
    </tableColumn>
    <tableColumn id="5" xr3:uid="{C15CE745-F885-404C-B6E5-6EF8320C11AB}" name="f(xi)" dataDxfId="56">
      <calculatedColumnFormula>(B164^3)-(B164)-1</calculatedColumnFormula>
    </tableColumn>
    <tableColumn id="6" xr3:uid="{010C8FEF-375C-4EA4-9848-7BBDFB4BEF23}" name="f(xu)" dataDxfId="55">
      <calculatedColumnFormula>(C164^3)-(C164)-1</calculatedColumnFormula>
    </tableColumn>
    <tableColumn id="7" xr3:uid="{3A756A89-75FB-4023-9F06-38B287C389B4}" name="f(xr)" dataDxfId="54">
      <calculatedColumnFormula>(D164^3)-(D164)-1</calculatedColumnFormula>
    </tableColumn>
    <tableColumn id="8" xr3:uid="{9D5D975F-819A-469B-BD12-F765F2AB8C51}" name="f(xi)*f(xr)" dataDxfId="53">
      <calculatedColumnFormula>E164*G164</calculatedColumnFormula>
    </tableColumn>
    <tableColumn id="9" xr3:uid="{0899DE82-34B5-422F-8F1D-0A88573E218D}" name="error" dataDxfId="52">
      <calculatedColumnFormula>ABS(((D164-D163)/D164)*100)</calculatedColumnFormula>
    </tableColumn>
    <tableColumn id="10" xr3:uid="{75C394B7-F26E-4650-BE49-AD5B34073F17}" name="Error en porcentaje" dataCellStyle="Porcentaje">
      <calculatedColumnFormula>Tabla48[[#This Row],[error]]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942ACC-5370-4C63-8F9B-C40B43BD2211}" name="Tabla4811" displayName="Tabla4811" ref="A180:J192" totalsRowShown="0">
  <autoFilter ref="A180:J192" xr:uid="{3D942ACC-5370-4C63-8F9B-C40B43BD2211}"/>
  <tableColumns count="10">
    <tableColumn id="1" xr3:uid="{A3E368FC-2750-4078-98C9-02D81F4725ED}" name="iteracion"/>
    <tableColumn id="2" xr3:uid="{D2785829-267E-4785-9BC0-B8793C5020E3}" name="xi "/>
    <tableColumn id="3" xr3:uid="{D1EE9DDD-EAF9-4BE8-B115-91E9085828CD}" name="xu"/>
    <tableColumn id="4" xr3:uid="{18E607C9-9C14-4221-AAC9-7AE19D50D2EB}" name="xr" dataDxfId="51">
      <calculatedColumnFormula>C181-(F181*(B181-C181)/(E181-F181))</calculatedColumnFormula>
    </tableColumn>
    <tableColumn id="5" xr3:uid="{06E3F360-E694-4DFF-A1E7-13426F1FCEC3}" name="f(xi)" dataDxfId="50">
      <calculatedColumnFormula>(B181^2)-2</calculatedColumnFormula>
    </tableColumn>
    <tableColumn id="6" xr3:uid="{B37D1683-5334-4072-961A-CF000456FD08}" name="f(xu)" dataDxfId="49">
      <calculatedColumnFormula>(C181^2)-2</calculatedColumnFormula>
    </tableColumn>
    <tableColumn id="7" xr3:uid="{11387453-0692-4209-9561-8AAA92A15056}" name="f(xr)" dataDxfId="48">
      <calculatedColumnFormula>(D181^2)-2</calculatedColumnFormula>
    </tableColumn>
    <tableColumn id="8" xr3:uid="{C1C33A4C-9A4E-49FE-A602-5894221973D5}" name="f(xi)*f(xr)" dataDxfId="47">
      <calculatedColumnFormula>E181*G181</calculatedColumnFormula>
    </tableColumn>
    <tableColumn id="9" xr3:uid="{4EECF7E2-B69A-4CFF-B01A-7A4D0FFFF841}" name="error" dataDxfId="46">
      <calculatedColumnFormula>ABS(((D181-D180)/D181)*100)</calculatedColumnFormula>
    </tableColumn>
    <tableColumn id="10" xr3:uid="{1BF73ABB-AD93-421A-BA7E-4759933DF84F}" name="Error en porcentaje" dataCellStyle="Porcentaje">
      <calculatedColumnFormula>Tabla4811[[#This Row],[error]]</calculatedColumnFormula>
    </tableColumn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29636A-D79E-4524-9F04-F8ACD64D8EAD}" name="Tabla4812" displayName="Tabla4812" ref="A195:J207" totalsRowShown="0">
  <autoFilter ref="A195:J207" xr:uid="{0429636A-D79E-4524-9F04-F8ACD64D8EAD}"/>
  <tableColumns count="10">
    <tableColumn id="1" xr3:uid="{41EAF298-EC34-40E7-BCA8-3453AFACA952}" name="iteracion"/>
    <tableColumn id="2" xr3:uid="{939A9020-19DF-4612-A0C4-756DB5FA1840}" name="xi "/>
    <tableColumn id="3" xr3:uid="{9476F5DD-56DB-4E9A-ABCB-722DC874E7D4}" name="xu"/>
    <tableColumn id="4" xr3:uid="{AA7BD295-9AFF-47F0-ACA7-D52CF4CE324E}" name="xr" dataDxfId="45">
      <calculatedColumnFormula>C196-(F196*(B196-C196)/(E196-F196))</calculatedColumnFormula>
    </tableColumn>
    <tableColumn id="5" xr3:uid="{0682D384-AAED-416F-BCD9-6CEDD6DC0675}" name="f(xi)" dataDxfId="44">
      <calculatedColumnFormula>(B196^2)-(2*B196)-8</calculatedColumnFormula>
    </tableColumn>
    <tableColumn id="6" xr3:uid="{C6EF66B9-F6B1-49BF-A1B0-64B739903FF3}" name="f(xu)" dataDxfId="43">
      <calculatedColumnFormula>(C196^2)-(2*C196)-8</calculatedColumnFormula>
    </tableColumn>
    <tableColumn id="7" xr3:uid="{F4F96901-4936-4190-87B2-574AF41424EF}" name="f(xr)" dataDxfId="42">
      <calculatedColumnFormula>(D196^2)-(2*D196)-8</calculatedColumnFormula>
    </tableColumn>
    <tableColumn id="8" xr3:uid="{8F3FA1CD-2B1D-4402-93EB-EF3C3DCFDB13}" name="f(xi)*f(xr)" dataDxfId="41">
      <calculatedColumnFormula>E196*G196</calculatedColumnFormula>
    </tableColumn>
    <tableColumn id="9" xr3:uid="{0871F98B-AA60-4F63-B6E9-22BE3EE6275D}" name="error" dataDxfId="40">
      <calculatedColumnFormula>ABS(((D196-D195)/D196)*100)</calculatedColumnFormula>
    </tableColumn>
    <tableColumn id="10" xr3:uid="{4979006D-9748-48E8-91F1-1265C4F30661}" name="Error en porcentaje" dataCellStyle="Porcentaje">
      <calculatedColumnFormula>Tabla4812[[#This Row],[error]]</calculatedColumnFormula>
    </tableColumn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D834C2-8B7E-4599-BE51-B47E3A129384}" name="Tabla114" displayName="Tabla114" ref="B225:G232" totalsRowShown="0">
  <autoFilter ref="B225:G232" xr:uid="{10D834C2-8B7E-4599-BE51-B47E3A129384}"/>
  <tableColumns count="6">
    <tableColumn id="1" xr3:uid="{138CC9E6-AC54-4CA0-9A31-FD93D28709CD}" name="iteracion"/>
    <tableColumn id="2" xr3:uid="{5BD23D83-B088-4D8E-9445-33E5B4EADC3C}" name="x(n)"/>
    <tableColumn id="3" xr3:uid="{8BB6928C-802F-4C0B-9BB6-FEE4BA9DE894}" name="f(xn)" dataDxfId="39">
      <calculatedColumnFormula>(Tabla114[[#This Row],[x(n)]]^2)-2</calculatedColumnFormula>
    </tableColumn>
    <tableColumn id="4" xr3:uid="{4FDD0F20-D923-4959-A9F8-597511D74519}" name="f`(xn)" dataDxfId="38">
      <calculatedColumnFormula>2*(Tabla114[[#This Row],[x(n)]])</calculatedColumnFormula>
    </tableColumn>
    <tableColumn id="5" xr3:uid="{1B3B468D-CA3F-4A6B-8ACD-1F6CAAE62634}" name="xi+1" dataDxfId="37">
      <calculatedColumnFormula>Tabla114[[#This Row],[x(n)]]-(Tabla114[[#This Row],[f(xn)]]/Tabla114[[#This Row],[f`(xn)]])</calculatedColumnFormula>
    </tableColumn>
    <tableColumn id="6" xr3:uid="{BF05C777-5D6C-4341-A8CF-976FD4CDA2FD}" name="error" dataDxfId="36">
      <calculatedColumnFormula>ABS((C225-Tabla114[[#This Row],[x(n)]])/Tabla114[[#This Row],[x(n)]])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CACF8F9-6B62-4F70-BB5E-4D96D3C7251F}" name="Tabla13" displayName="Tabla13" ref="B239:G246" totalsRowShown="0">
  <autoFilter ref="B239:G246" xr:uid="{CCACF8F9-6B62-4F70-BB5E-4D96D3C7251F}"/>
  <tableColumns count="6">
    <tableColumn id="1" xr3:uid="{0409E999-0F0A-4607-A99C-95CC3F10DB72}" name="iteracion"/>
    <tableColumn id="2" xr3:uid="{B7F13193-FAB7-4271-8354-F03A8A875025}" name="x(0)"/>
    <tableColumn id="3" xr3:uid="{5EB920AE-D654-4413-8390-B42D3FDC48F1}" name="f(xn)" dataDxfId="35">
      <calculatedColumnFormula>(Tabla13[[#This Row],[x(0)]]^3)-(Tabla13[[#This Row],[x(0)]])-1</calculatedColumnFormula>
    </tableColumn>
    <tableColumn id="4" xr3:uid="{899ED50E-1D10-463A-904E-71B818998C01}" name="f`(xn)" dataDxfId="34">
      <calculatedColumnFormula>3*(Tabla13[[#This Row],[x(0)]]^2)-1</calculatedColumnFormula>
    </tableColumn>
    <tableColumn id="5" xr3:uid="{1E5ACD7F-313B-49AC-9CE4-1B4DC2BB1FFB}" name="xi+1" dataDxfId="33">
      <calculatedColumnFormula>Tabla13[[#This Row],[x(0)]]-(Tabla13[[#This Row],[f(xn)]]/Tabla13[[#This Row],[f`(xn)]])</calculatedColumnFormula>
    </tableColumn>
    <tableColumn id="6" xr3:uid="{D9352272-E1C8-47E5-B7EE-027781BE17ED}" name="error" dataDxfId="32">
      <calculatedColumnFormula>ABS((C239-Tabla13[[#This Row],[x(0)]])/Tabla13[[#This Row],[x(0)]])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F5ECF0C-674D-468B-B287-75DAA6520C3F}" name="Tabla137" displayName="Tabla137" ref="A259:F266" totalsRowShown="0">
  <autoFilter ref="A259:F266" xr:uid="{6F5ECF0C-674D-468B-B287-75DAA6520C3F}"/>
  <tableColumns count="6">
    <tableColumn id="1" xr3:uid="{A6130948-CE02-4FA9-9AE7-2E12C5DE022A}" name="iteracion"/>
    <tableColumn id="2" xr3:uid="{C7AABB6C-E50E-4EDB-94CA-C5432906E370}" name="x(0)"/>
    <tableColumn id="3" xr3:uid="{3AC37005-F1F5-432A-B09E-C0B0C15FBD8D}" name="f(xn)" dataDxfId="31">
      <calculatedColumnFormula>(Tabla137[[#This Row],[x(0)]]^3)-(Tabla137[[#This Row],[x(0)]])</calculatedColumnFormula>
    </tableColumn>
    <tableColumn id="4" xr3:uid="{30EF9086-8674-4538-A87E-DE69CA4A64F1}" name="f`(xn)" dataDxfId="30">
      <calculatedColumnFormula>3*(Tabla137[[#This Row],[x(0)]]^2)-1</calculatedColumnFormula>
    </tableColumn>
    <tableColumn id="5" xr3:uid="{CB772326-6978-4AAD-A565-F17C93D26DC7}" name="xi+1" dataDxfId="29">
      <calculatedColumnFormula>Tabla137[[#This Row],[x(0)]]-(Tabla137[[#This Row],[f(xn)]]/Tabla137[[#This Row],[f`(xn)]])</calculatedColumnFormula>
    </tableColumn>
    <tableColumn id="6" xr3:uid="{FAA92EB8-E0FF-4EAC-BDB9-7ECEF23BD7E4}" name="error" dataDxfId="28">
      <calculatedColumnFormula>ABS((B259-Tabla137[[#This Row],[x(0)]])/Tabla137[[#This Row],[x(0)]])</calculatedColumnFormula>
    </tableColumn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1E912E-688F-4EBA-BA68-1133040D0D56}" name="Tabla1379" displayName="Tabla1379" ref="A270:F277" totalsRowShown="0">
  <autoFilter ref="A270:F277" xr:uid="{8B1E912E-688F-4EBA-BA68-1133040D0D56}"/>
  <tableColumns count="6">
    <tableColumn id="1" xr3:uid="{4A83CF29-EE6D-453B-81BD-573CAB87A41E}" name="iteracion"/>
    <tableColumn id="2" xr3:uid="{AC1C3030-261E-4E02-BACC-5120D553F68C}" name="x(0)"/>
    <tableColumn id="3" xr3:uid="{FCC34484-7C23-4777-B7C5-CC54E59E5BF8}" name="f(xn)" dataDxfId="27">
      <calculatedColumnFormula>(Tabla1379[[#This Row],[x(0)]]^2)-2</calculatedColumnFormula>
    </tableColumn>
    <tableColumn id="4" xr3:uid="{52E87E78-5931-4866-99AC-0D5A87627C7C}" name="f`(xn)" dataDxfId="26">
      <calculatedColumnFormula>2*(Tabla1379[[#This Row],[x(0)]])</calculatedColumnFormula>
    </tableColumn>
    <tableColumn id="5" xr3:uid="{A82859C7-130B-4372-AF3E-F066F33C7FD6}" name="xi+1" dataDxfId="25">
      <calculatedColumnFormula>Tabla1379[[#This Row],[x(0)]]-(Tabla1379[[#This Row],[f(xn)]]/Tabla1379[[#This Row],[f`(xn)]])</calculatedColumnFormula>
    </tableColumn>
    <tableColumn id="6" xr3:uid="{AEC9BEF8-249F-4C75-ABEC-F8C5FC6E8053}" name="error" dataDxfId="24">
      <calculatedColumnFormula>ABS((B270-Tabla1379[[#This Row],[x(0)]])/Tabla1379[[#This Row],[x(0)]])</calculatedColumnFormula>
    </tableColumn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C0CD248-5703-46A8-B929-7E1B95FC99C7}" name="Tabla13710" displayName="Tabla13710" ref="A280:F287" totalsRowShown="0">
  <autoFilter ref="A280:F287" xr:uid="{8C0CD248-5703-46A8-B929-7E1B95FC99C7}"/>
  <tableColumns count="6">
    <tableColumn id="1" xr3:uid="{0A6187B4-D960-44EA-8909-E18C41CF99E9}" name="iteracion"/>
    <tableColumn id="2" xr3:uid="{C0A5FF96-3D2F-4A07-A3BE-F915B80973F8}" name="x(0)"/>
    <tableColumn id="3" xr3:uid="{FDE7DAA2-B09F-4A90-A139-1A4BF16E894E}" name="f(xn)" dataDxfId="23">
      <calculatedColumnFormula>(Tabla13710[[#This Row],[x(0)]]^2)+(2*Tabla13710[[#This Row],[x(0)]])-8</calculatedColumnFormula>
    </tableColumn>
    <tableColumn id="4" xr3:uid="{4A06C433-35C5-4B31-9444-DEE64262A3D0}" name="f`(xn)" dataDxfId="22">
      <calculatedColumnFormula>2*(Tabla13710[[#This Row],[x(0)]])+2</calculatedColumnFormula>
    </tableColumn>
    <tableColumn id="5" xr3:uid="{7481803A-0E32-45B6-B633-6F696C87E0C8}" name="xi+1" dataDxfId="21">
      <calculatedColumnFormula>Tabla13710[[#This Row],[x(0)]]-(Tabla13710[[#This Row],[f(xn)]]/Tabla13710[[#This Row],[f`(xn)]])</calculatedColumnFormula>
    </tableColumn>
    <tableColumn id="6" xr3:uid="{9888C78D-9158-43B1-B72D-AA0632E418E8}" name="error" dataDxfId="20">
      <calculatedColumnFormula>ABS((B280-Tabla13710[[#This Row],[x(0)]])/Tabla13710[[#This Row],[x(0)]])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D6D917-10DB-4B08-A7EC-D3D38EA2B52A}" name="Tabla319" displayName="Tabla319" ref="A300:G309" totalsRowShown="0">
  <autoFilter ref="A300:G309" xr:uid="{ACD6D917-10DB-4B08-A7EC-D3D38EA2B52A}"/>
  <tableColumns count="7">
    <tableColumn id="1" xr3:uid="{C5570B97-B80E-4875-BB3F-F619B9C3F865}" name="Iteracion"/>
    <tableColumn id="2" xr3:uid="{02FAF95B-B911-4F39-89EB-78180F8004F9}" name="xi-1"/>
    <tableColumn id="3" xr3:uid="{A7174C33-A168-4BC1-A86F-8E938891E019}" name="xi"/>
    <tableColumn id="4" xr3:uid="{16A90ACE-75EB-441E-A5F1-35346D8302CB}" name="f(xi-1)" dataDxfId="19">
      <calculatedColumnFormula>(Tabla319[[#This Row],[xi-1]]^2)-(2*Tabla319[[#This Row],[xi-1]])</calculatedColumnFormula>
    </tableColumn>
    <tableColumn id="5" xr3:uid="{2E1DEF18-8719-40FB-8635-703D0208D5A0}" name="f(xi)" dataDxfId="18">
      <calculatedColumnFormula>(Tabla319[[#This Row],[xi]]^2)-(2*Tabla319[[#This Row],[xi]])</calculatedColumnFormula>
    </tableColumn>
    <tableColumn id="6" xr3:uid="{15D36818-0DB0-4ED5-9A33-703ABA7ECFCA}" name="xi-1(nuevo)" dataDxfId="17">
      <calculatedColumnFormula>C301-(E301*(C301-B301)/(E301-D301))</calculatedColumnFormula>
    </tableColumn>
    <tableColumn id="7" xr3:uid="{6EF77494-CC78-479B-A6B1-8A0DE5931958}" name="Error" dataDxfId="16">
      <calculatedColumnFormula>ABS((B300-Tabla319[[#This Row],[xi-1]])/Tabla319[[#This Row],[xi-1]])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C700A4D-6DCE-4AB3-9A64-57A6633280CF}" name="Tabla420" displayName="Tabla420" ref="A318:G325" totalsRowShown="0">
  <autoFilter ref="A318:G325" xr:uid="{FC700A4D-6DCE-4AB3-9A64-57A6633280CF}"/>
  <tableColumns count="7">
    <tableColumn id="1" xr3:uid="{A0FAA68B-C26F-45F9-9216-F8D93BDAAC5D}" name="iteracion"/>
    <tableColumn id="2" xr3:uid="{D7774ADC-3D0D-48C4-AAFA-0F587B34D1AE}" name="xi-1"/>
    <tableColumn id="3" xr3:uid="{CEE211A8-461F-48E8-8016-B13F8F2D964F}" name="xi"/>
    <tableColumn id="4" xr3:uid="{F303C647-816E-4FF9-9B61-99871026E8D6}" name="f(xi-1)" dataDxfId="15">
      <calculatedColumnFormula>(Tabla420[[#This Row],[xi-1]]^2)+Tabla420[[#This Row],[xi-1]]</calculatedColumnFormula>
    </tableColumn>
    <tableColumn id="5" xr3:uid="{3D472D1D-2079-46F9-B352-0C94F75A4CA7}" name="f(xi)" dataDxfId="14">
      <calculatedColumnFormula>(Tabla420[[#This Row],[xi]]^2)+Tabla420[[#This Row],[xi]]</calculatedColumnFormula>
    </tableColumn>
    <tableColumn id="6" xr3:uid="{90EBC989-D54E-4861-A9B7-5466873CAEEF}" name="xi-1nuevo" dataDxfId="13">
      <calculatedColumnFormula>C319-(E319*(C319-B319)/(E319-D319))</calculatedColumnFormula>
    </tableColumn>
    <tableColumn id="7" xr3:uid="{B9CED612-3E57-4CCF-BFEF-0ABF21B12CB8}" name="error" dataDxfId="12">
      <calculatedColumnFormula>ABS((Tabla420[[#This Row],[xi-1]]-B318)/Tabla420[[#This Row],[xi-1]])</calculatedColumnFormula>
    </tableColumn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5AA9BD8-24AB-4BEA-9ACB-EC94DE4C6746}" name="Tabla4621" displayName="Tabla4621" ref="A330:G337" totalsRowShown="0">
  <autoFilter ref="A330:G337" xr:uid="{65AA9BD8-24AB-4BEA-9ACB-EC94DE4C6746}"/>
  <tableColumns count="7">
    <tableColumn id="1" xr3:uid="{8D14DAE9-9898-44BB-AC3E-8F0D14984EF0}" name="iteracion"/>
    <tableColumn id="2" xr3:uid="{71123A39-4C78-4D0E-AD88-B6C186CAEBAB}" name="xi-1"/>
    <tableColumn id="3" xr3:uid="{77911717-73CB-445B-AD74-B7EA9DCA51B6}" name="xi"/>
    <tableColumn id="4" xr3:uid="{3ADFA628-8D31-4F44-A6D6-1CFA4D8DF532}" name="f(xi-1)" dataDxfId="11">
      <calculatedColumnFormula>(Tabla4621[[#This Row],[xi-1]]^3)-Tabla4621[[#This Row],[xi-1]]-1</calculatedColumnFormula>
    </tableColumn>
    <tableColumn id="5" xr3:uid="{F744C659-DAED-4C18-8A8F-3AB0D3C6650C}" name="f(xi)" dataDxfId="10">
      <calculatedColumnFormula>(Tabla4621[[#This Row],[xi]]^3)-Tabla4621[[#This Row],[xi]]-1</calculatedColumnFormula>
    </tableColumn>
    <tableColumn id="6" xr3:uid="{14849BD1-0318-4DAC-B1A0-3859645C74BA}" name="xi-1nuevo" dataDxfId="9">
      <calculatedColumnFormula>C331-(E331*(C331-B331)/(E331-D331))</calculatedColumnFormula>
    </tableColumn>
    <tableColumn id="7" xr3:uid="{4453009F-2B13-4126-B953-ACFCF8D63CA3}" name="error" dataDxfId="8">
      <calculatedColumnFormula>ABS((Tabla4621[[#This Row],[xi-1]]-B330)/Tabla4621[[#This Row],[xi-1]])</calculatedColumnFormula>
    </tableColumn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13AB22-2A1F-4A5B-A009-EB24E132F2B8}" name="Tabla468" displayName="Tabla468" ref="A342:G349" totalsRowShown="0">
  <autoFilter ref="A342:G349" xr:uid="{7813AB22-2A1F-4A5B-A009-EB24E132F2B8}"/>
  <tableColumns count="7">
    <tableColumn id="1" xr3:uid="{C922D14F-F129-43CF-9E9F-BC28A1378A73}" name="iteracion"/>
    <tableColumn id="2" xr3:uid="{0C2671BA-F7D4-4AF5-B542-7317226301E2}" name="xi-1"/>
    <tableColumn id="3" xr3:uid="{D5BDE616-8EE6-4951-B6EE-2FD669E47602}" name="xi"/>
    <tableColumn id="4" xr3:uid="{98A6792F-6A7A-4BD0-8E4A-0DF6227CAE72}" name="f(xi-1)" dataDxfId="7">
      <calculatedColumnFormula>(Tabla468[[#This Row],[xi-1]]^2)-2</calculatedColumnFormula>
    </tableColumn>
    <tableColumn id="5" xr3:uid="{AD169BDC-C47B-4D71-A61B-8497CFF958AE}" name="f(xi)" dataDxfId="6">
      <calculatedColumnFormula>(Tabla468[[#This Row],[xi]]^2)-2</calculatedColumnFormula>
    </tableColumn>
    <tableColumn id="6" xr3:uid="{90C3B02D-3173-4C02-B1D8-09E74DA2724A}" name="xi-1nuevo" dataDxfId="5">
      <calculatedColumnFormula>C343-(E343*(C343-B343)/(E343-D343))</calculatedColumnFormula>
    </tableColumn>
    <tableColumn id="7" xr3:uid="{DBD86820-C43C-44A9-BF11-001C60677835}" name="error" dataDxfId="4">
      <calculatedColumnFormula>ABS((Tabla468[[#This Row],[xi-1]]-B342)/Tabla468[[#This Row],[xi-1]])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5766E84-EBDF-4602-A711-A090AD150E17}" name="Tabla46811" displayName="Tabla46811" ref="A352:G359" totalsRowShown="0">
  <autoFilter ref="A352:G359" xr:uid="{45766E84-EBDF-4602-A711-A090AD150E17}"/>
  <tableColumns count="7">
    <tableColumn id="1" xr3:uid="{B49514BA-A61E-4D3E-8430-A4889DAEFE95}" name="iteracion"/>
    <tableColumn id="2" xr3:uid="{C76A7DBE-8950-4486-B6C7-A445E79413AB}" name="xi-1"/>
    <tableColumn id="3" xr3:uid="{263C35A6-5D02-4FBD-9230-4FEEFD3FC552}" name="xi"/>
    <tableColumn id="4" xr3:uid="{D084D2D8-173E-4E21-A2E0-EA41C9392458}" name="f(xi-1)" dataDxfId="3">
      <calculatedColumnFormula>(Tabla46811[[#This Row],[xi-1]]^2)+(2*Tabla46811[[#This Row],[xi-1]])-8</calculatedColumnFormula>
    </tableColumn>
    <tableColumn id="5" xr3:uid="{B3595FB2-1C45-4FDF-B738-5FE2B29C354D}" name="f(xi)" dataDxfId="2">
      <calculatedColumnFormula>(Tabla46811[[#This Row],[xi]]^2)+(2*Tabla46811[[#This Row],[xi]])-8</calculatedColumnFormula>
    </tableColumn>
    <tableColumn id="6" xr3:uid="{79D13958-FE98-43EB-B822-74D43ED22127}" name="xi-1nuevo" dataDxfId="1">
      <calculatedColumnFormula>C353-(E353*(C353-B353)/(E353-D353))</calculatedColumnFormula>
    </tableColumn>
    <tableColumn id="7" xr3:uid="{9BDE12B5-1A98-47E0-9831-94B2689C813B}" name="error" dataDxfId="0">
      <calculatedColumnFormula>ABS((Tabla46811[[#This Row],[xi-1]]-B352)/Tabla46811[[#This Row],[xi-1]])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35E0-7834-4A91-888C-EEDD78C4C0BF}">
  <dimension ref="A1:M359"/>
  <sheetViews>
    <sheetView tabSelected="1" zoomScale="49" workbookViewId="0">
      <selection activeCell="A300" sqref="A300:L365"/>
    </sheetView>
  </sheetViews>
  <sheetFormatPr baseColWidth="10" defaultRowHeight="14.4" x14ac:dyDescent="0.3"/>
  <sheetData>
    <row r="1" spans="1:12" x14ac:dyDescent="0.3">
      <c r="A1" s="1" t="s">
        <v>0</v>
      </c>
      <c r="B1" s="1"/>
      <c r="C1" s="1"/>
      <c r="D1" s="1"/>
      <c r="E1" s="1"/>
      <c r="F1" s="1"/>
      <c r="G1" s="1"/>
    </row>
    <row r="2" spans="1:12" x14ac:dyDescent="0.3">
      <c r="A2" s="1"/>
      <c r="B2" s="1"/>
      <c r="C2" s="1"/>
      <c r="D2" s="1"/>
      <c r="E2" s="1"/>
      <c r="F2" s="1"/>
      <c r="G2" s="1"/>
    </row>
    <row r="3" spans="1:12" x14ac:dyDescent="0.3">
      <c r="A3" s="1"/>
      <c r="B3" s="1"/>
      <c r="C3" s="1"/>
      <c r="D3" s="1"/>
      <c r="E3" s="1"/>
      <c r="F3" s="1"/>
      <c r="G3" s="1"/>
    </row>
    <row r="4" spans="1:12" x14ac:dyDescent="0.3">
      <c r="A4" s="1"/>
      <c r="B4" s="1"/>
      <c r="C4" s="1"/>
      <c r="D4" s="1"/>
      <c r="E4" s="1"/>
      <c r="F4" s="1"/>
      <c r="G4" s="1"/>
    </row>
    <row r="5" spans="1:12" x14ac:dyDescent="0.3">
      <c r="A5" s="1"/>
      <c r="B5" s="1"/>
      <c r="C5" s="1"/>
      <c r="D5" s="1"/>
      <c r="E5" s="1"/>
      <c r="F5" s="1"/>
      <c r="G5" s="1"/>
    </row>
    <row r="7" spans="1:12" x14ac:dyDescent="0.3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12" x14ac:dyDescent="0.3">
      <c r="A8">
        <v>3</v>
      </c>
      <c r="B8">
        <v>4</v>
      </c>
      <c r="C8">
        <f>(Tabla3[[#This Row],[a]]^3)-(3*(Tabla3[[#This Row],[a]]^2))-5</f>
        <v>-5</v>
      </c>
      <c r="D8">
        <f>(Tabla3[[#This Row],[b]]^3)-(3*(Tabla3[[#This Row],[b]]^2))-5</f>
        <v>11</v>
      </c>
      <c r="E8">
        <f>(Tabla3[[#This Row],[a]]+Tabla3[[#This Row],[b]])/2</f>
        <v>3.5</v>
      </c>
      <c r="F8">
        <f>(Tabla3[[#This Row],[mitad]]^3)-(3*(Tabla3[[#This Row],[mitad]]^2))-5</f>
        <v>1.125</v>
      </c>
      <c r="G8">
        <f>Tabla3[[#This Row],[f(a)]]*Tabla3[[#This Row],[fmitad]]</f>
        <v>-5.625</v>
      </c>
    </row>
    <row r="9" spans="1:12" x14ac:dyDescent="0.3">
      <c r="A9">
        <f>IF(G8 &gt; 0, E8, A8)</f>
        <v>3</v>
      </c>
      <c r="B9">
        <f>IF(G8 &lt; 0, E8, B8)</f>
        <v>3.5</v>
      </c>
      <c r="C9">
        <f>(Tabla3[[#This Row],[a]]^3)-(3*(Tabla3[[#This Row],[a]]^2))-5</f>
        <v>-5</v>
      </c>
      <c r="D9">
        <f>(Tabla3[[#This Row],[b]]^3)-(3*(Tabla3[[#This Row],[b]]^2))-5</f>
        <v>1.125</v>
      </c>
      <c r="E9">
        <f>(Tabla3[[#This Row],[a]]+Tabla3[[#This Row],[b]])/2</f>
        <v>3.25</v>
      </c>
      <c r="F9">
        <f>(Tabla3[[#This Row],[mitad]]^3)-(3*(Tabla3[[#This Row],[mitad]]^2))-5</f>
        <v>-2.359375</v>
      </c>
      <c r="G9">
        <f>Tabla3[[#This Row],[f(a)]]*Tabla3[[#This Row],[fmitad]]</f>
        <v>11.796875</v>
      </c>
      <c r="H9">
        <f>ABS((E9-E8)/E9)*100</f>
        <v>7.6923076923076925</v>
      </c>
    </row>
    <row r="10" spans="1:12" x14ac:dyDescent="0.3">
      <c r="A10">
        <f>IF(G9 &gt; 0, E9, A9)</f>
        <v>3.25</v>
      </c>
      <c r="B10">
        <f>IF(G9 &lt; 0, E9, B9)</f>
        <v>3.5</v>
      </c>
      <c r="C10">
        <f>(Tabla3[[#This Row],[a]]^3)-(3*(Tabla3[[#This Row],[a]]^2))-5</f>
        <v>-2.359375</v>
      </c>
      <c r="D10">
        <f>(Tabla3[[#This Row],[b]]^3)-(3*(Tabla3[[#This Row],[b]]^2))-5</f>
        <v>1.125</v>
      </c>
      <c r="E10">
        <f>(Tabla3[[#This Row],[a]]+Tabla3[[#This Row],[b]])/2</f>
        <v>3.375</v>
      </c>
      <c r="F10">
        <f>(Tabla3[[#This Row],[mitad]]^3)-(3*(Tabla3[[#This Row],[mitad]]^2))-5</f>
        <v>-0.728515625</v>
      </c>
      <c r="G10">
        <f>Tabla3[[#This Row],[f(a)]]*Tabla3[[#This Row],[fmitad]]</f>
        <v>1.718841552734375</v>
      </c>
      <c r="H10">
        <f t="shared" ref="H10:H17" si="0">ABS((E10-E9)/E10)*100</f>
        <v>3.7037037037037033</v>
      </c>
    </row>
    <row r="11" spans="1:12" x14ac:dyDescent="0.3">
      <c r="A11">
        <f t="shared" ref="A11:A17" si="1">IF(G10 &gt; 0, E10, A10)</f>
        <v>3.375</v>
      </c>
      <c r="B11">
        <f t="shared" ref="B11:B17" si="2">IF(G10 &lt; 0, E10, B10)</f>
        <v>3.5</v>
      </c>
      <c r="C11">
        <f>(Tabla3[[#This Row],[a]]^3)-(3*(Tabla3[[#This Row],[a]]^2))-5</f>
        <v>-0.728515625</v>
      </c>
      <c r="D11">
        <f>(Tabla3[[#This Row],[b]]^3)-(3*(Tabla3[[#This Row],[b]]^2))-5</f>
        <v>1.125</v>
      </c>
      <c r="E11">
        <f>(Tabla3[[#This Row],[a]]+Tabla3[[#This Row],[b]])/2</f>
        <v>3.4375</v>
      </c>
      <c r="F11">
        <f>(Tabla3[[#This Row],[mitad]]^3)-(3*(Tabla3[[#This Row],[mitad]]^2))-5</f>
        <v>0.169677734375</v>
      </c>
      <c r="G11">
        <f>Tabla3[[#This Row],[f(a)]]*Tabla3[[#This Row],[fmitad]]</f>
        <v>-0.12361288070678711</v>
      </c>
      <c r="H11">
        <f t="shared" si="0"/>
        <v>1.8181818181818181</v>
      </c>
      <c r="K11" t="s">
        <v>9</v>
      </c>
      <c r="L11" t="s">
        <v>10</v>
      </c>
    </row>
    <row r="12" spans="1:12" x14ac:dyDescent="0.3">
      <c r="A12">
        <f t="shared" si="1"/>
        <v>3.375</v>
      </c>
      <c r="B12">
        <f t="shared" si="2"/>
        <v>3.4375</v>
      </c>
      <c r="C12">
        <f>(Tabla3[[#This Row],[a]]^3)-(3*(Tabla3[[#This Row],[a]]^2))-5</f>
        <v>-0.728515625</v>
      </c>
      <c r="D12">
        <f>(Tabla3[[#This Row],[b]]^3)-(3*(Tabla3[[#This Row],[b]]^2))-5</f>
        <v>0.169677734375</v>
      </c>
      <c r="E12">
        <f>(Tabla3[[#This Row],[a]]+Tabla3[[#This Row],[b]])/2</f>
        <v>3.40625</v>
      </c>
      <c r="F12">
        <f>(Tabla3[[#This Row],[mitad]]^3)-(3*(Tabla3[[#This Row],[mitad]]^2))-5</f>
        <v>-0.286468505859375</v>
      </c>
      <c r="G12">
        <f>Tabla3[[#This Row],[f(a)]]*Tabla3[[#This Row],[fmitad]]</f>
        <v>0.20869678258895874</v>
      </c>
      <c r="H12">
        <f t="shared" si="0"/>
        <v>0.91743119266055051</v>
      </c>
      <c r="K12" t="s">
        <v>1</v>
      </c>
      <c r="L12">
        <v>-2</v>
      </c>
    </row>
    <row r="13" spans="1:12" x14ac:dyDescent="0.3">
      <c r="A13">
        <f t="shared" si="1"/>
        <v>3.40625</v>
      </c>
      <c r="B13">
        <f t="shared" si="2"/>
        <v>3.4375</v>
      </c>
      <c r="C13">
        <f>(Tabla3[[#This Row],[a]]^3)-(3*(Tabla3[[#This Row],[a]]^2))-5</f>
        <v>-0.286468505859375</v>
      </c>
      <c r="D13">
        <f>(Tabla3[[#This Row],[b]]^3)-(3*(Tabla3[[#This Row],[b]]^2))-5</f>
        <v>0.169677734375</v>
      </c>
      <c r="E13">
        <f>(Tabla3[[#This Row],[a]]+Tabla3[[#This Row],[b]])/2</f>
        <v>3.421875</v>
      </c>
      <c r="F13">
        <f>(Tabla3[[#This Row],[mitad]]^3)-(3*(Tabla3[[#This Row],[mitad]]^2))-5</f>
        <v>-6.0169219970703125E-2</v>
      </c>
      <c r="G13">
        <f>Tabla3[[#This Row],[f(a)]]*Tabla3[[#This Row],[fmitad]]</f>
        <v>1.7236586543731391E-2</v>
      </c>
      <c r="H13">
        <f t="shared" si="0"/>
        <v>0.45662100456621002</v>
      </c>
      <c r="K13" t="s">
        <v>2</v>
      </c>
      <c r="L13">
        <v>2</v>
      </c>
    </row>
    <row r="14" spans="1:12" x14ac:dyDescent="0.3">
      <c r="A14">
        <f t="shared" si="1"/>
        <v>3.421875</v>
      </c>
      <c r="B14">
        <f t="shared" si="2"/>
        <v>3.4375</v>
      </c>
      <c r="C14">
        <f>(Tabla3[[#This Row],[a]]^3)-(3*(Tabla3[[#This Row],[a]]^2))-5</f>
        <v>-6.0169219970703125E-2</v>
      </c>
      <c r="D14">
        <f>(Tabla3[[#This Row],[b]]^3)-(3*(Tabla3[[#This Row],[b]]^2))-5</f>
        <v>0.169677734375</v>
      </c>
      <c r="E14">
        <f>(Tabla3[[#This Row],[a]]+Tabla3[[#This Row],[b]])/2</f>
        <v>3.4296875</v>
      </c>
      <c r="F14">
        <f>(Tabla3[[#This Row],[mitad]]^3)-(3*(Tabla3[[#This Row],[mitad]]^2))-5</f>
        <v>5.4309368133544922E-2</v>
      </c>
      <c r="G14">
        <f>Tabla3[[#This Row],[f(a)]]*Tabla3[[#This Row],[fmitad]]</f>
        <v>-3.267752317697159E-3</v>
      </c>
      <c r="H14">
        <f t="shared" si="0"/>
        <v>0.22779043280182232</v>
      </c>
      <c r="K14" t="s">
        <v>11</v>
      </c>
      <c r="L14" s="2">
        <v>0.05</v>
      </c>
    </row>
    <row r="15" spans="1:12" x14ac:dyDescent="0.3">
      <c r="A15">
        <f t="shared" si="1"/>
        <v>3.421875</v>
      </c>
      <c r="B15">
        <f t="shared" si="2"/>
        <v>3.4296875</v>
      </c>
      <c r="C15">
        <f>(Tabla3[[#This Row],[a]]^3)-(3*(Tabla3[[#This Row],[a]]^2))-5</f>
        <v>-6.0169219970703125E-2</v>
      </c>
      <c r="D15">
        <f>(Tabla3[[#This Row],[b]]^3)-(3*(Tabla3[[#This Row],[b]]^2))-5</f>
        <v>5.4309368133544922E-2</v>
      </c>
      <c r="E15">
        <f>(Tabla3[[#This Row],[a]]+Tabla3[[#This Row],[b]])/2</f>
        <v>3.42578125</v>
      </c>
      <c r="F15">
        <f>(Tabla3[[#This Row],[mitad]]^3)-(3*(Tabla3[[#This Row],[mitad]]^2))-5</f>
        <v>-3.0409693717956543E-3</v>
      </c>
      <c r="G15">
        <f>Tabla3[[#This Row],[f(a)]]*Tabla3[[#This Row],[fmitad]]</f>
        <v>1.8297275505574362E-4</v>
      </c>
      <c r="H15">
        <f t="shared" si="0"/>
        <v>0.11402508551881414</v>
      </c>
    </row>
    <row r="16" spans="1:12" x14ac:dyDescent="0.3">
      <c r="A16">
        <f t="shared" si="1"/>
        <v>3.42578125</v>
      </c>
      <c r="B16">
        <f t="shared" si="2"/>
        <v>3.4296875</v>
      </c>
      <c r="C16">
        <f>(Tabla3[[#This Row],[a]]^3)-(3*(Tabla3[[#This Row],[a]]^2))-5</f>
        <v>-3.0409693717956543E-3</v>
      </c>
      <c r="D16">
        <f>(Tabla3[[#This Row],[b]]^3)-(3*(Tabla3[[#This Row],[b]]^2))-5</f>
        <v>5.4309368133544922E-2</v>
      </c>
      <c r="E16">
        <f>(Tabla3[[#This Row],[a]]+Tabla3[[#This Row],[b]])/2</f>
        <v>3.427734375</v>
      </c>
      <c r="F16">
        <f>(Tabla3[[#This Row],[mitad]]^3)-(3*(Tabla3[[#This Row],[mitad]]^2))-5</f>
        <v>2.5606416165828705E-2</v>
      </c>
      <c r="G16">
        <f>Tabla3[[#This Row],[f(a)]]*Tabla3[[#This Row],[fmitad]]</f>
        <v>-7.7868327281738203E-5</v>
      </c>
      <c r="H16">
        <f t="shared" si="0"/>
        <v>5.6980056980056974E-2</v>
      </c>
    </row>
    <row r="17" spans="1:12" x14ac:dyDescent="0.3">
      <c r="A17">
        <f t="shared" si="1"/>
        <v>3.42578125</v>
      </c>
      <c r="B17">
        <f t="shared" si="2"/>
        <v>3.427734375</v>
      </c>
      <c r="C17">
        <f>(Tabla3[[#This Row],[a]]^3)-(3*(Tabla3[[#This Row],[a]]^2))-5</f>
        <v>-3.0409693717956543E-3</v>
      </c>
      <c r="D17">
        <f>(Tabla3[[#This Row],[b]]^3)-(3*(Tabla3[[#This Row],[b]]^2))-5</f>
        <v>2.5606416165828705E-2</v>
      </c>
      <c r="E17">
        <f>(Tabla3[[#This Row],[a]]+Tabla3[[#This Row],[b]])/2</f>
        <v>3.4267578125</v>
      </c>
      <c r="F17">
        <f>(Tabla3[[#This Row],[mitad]]^3)-(3*(Tabla3[[#This Row],[mitad]]^2))-5</f>
        <v>1.1275780387222767E-2</v>
      </c>
      <c r="G17">
        <f>Tabla3[[#This Row],[f(a)]]*Tabla3[[#This Row],[fmitad]]</f>
        <v>-3.4289302800638577E-5</v>
      </c>
      <c r="H17">
        <f t="shared" si="0"/>
        <v>2.8498147620404674E-2</v>
      </c>
    </row>
    <row r="20" spans="1:12" x14ac:dyDescent="0.3">
      <c r="K20" t="s">
        <v>0</v>
      </c>
    </row>
    <row r="25" spans="1:12" x14ac:dyDescent="0.3">
      <c r="F25" t="s">
        <v>12</v>
      </c>
      <c r="G25" t="s">
        <v>13</v>
      </c>
      <c r="I25" t="s">
        <v>14</v>
      </c>
      <c r="J25" t="s">
        <v>15</v>
      </c>
    </row>
    <row r="28" spans="1:12" x14ac:dyDescent="0.3">
      <c r="E28">
        <f>C8*F8</f>
        <v>-5.625</v>
      </c>
    </row>
    <row r="30" spans="1:12" x14ac:dyDescent="0.3">
      <c r="A30" t="s">
        <v>16</v>
      </c>
    </row>
    <row r="31" spans="1:12" x14ac:dyDescent="0.3">
      <c r="J31" t="s">
        <v>17</v>
      </c>
      <c r="K31" t="s">
        <v>18</v>
      </c>
    </row>
    <row r="32" spans="1:12" x14ac:dyDescent="0.3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K32">
        <v>3</v>
      </c>
      <c r="L32">
        <v>5</v>
      </c>
    </row>
    <row r="33" spans="1:10" x14ac:dyDescent="0.3">
      <c r="A33">
        <v>5</v>
      </c>
      <c r="B33">
        <v>-4</v>
      </c>
      <c r="C33">
        <f>(A33+B33)/2</f>
        <v>0.5</v>
      </c>
      <c r="D33">
        <f>(A33^2)+7*A33</f>
        <v>60</v>
      </c>
      <c r="E33">
        <f>(B33^2)+7*B33</f>
        <v>-12</v>
      </c>
      <c r="F33">
        <f>(C33^2)+7*C33</f>
        <v>3.75</v>
      </c>
      <c r="G33">
        <f>D33*F33</f>
        <v>225</v>
      </c>
      <c r="H33" t="e">
        <f>ABS((C32-Tabla1[[#This Row],[xr]])/Tabla1[[#This Row],[xr]])</f>
        <v>#VALUE!</v>
      </c>
    </row>
    <row r="34" spans="1:10" x14ac:dyDescent="0.3">
      <c r="A34">
        <f>IF(G33&lt;0,C33,A33)</f>
        <v>5</v>
      </c>
      <c r="B34">
        <f>IF(G33&gt;0,C33,B33)</f>
        <v>0.5</v>
      </c>
      <c r="C34">
        <f t="shared" ref="C34:C40" si="3">(A34+B34)/2</f>
        <v>2.75</v>
      </c>
      <c r="D34">
        <f t="shared" ref="D34:F40" si="4">(A34^2)+7*A34</f>
        <v>60</v>
      </c>
      <c r="E34">
        <f t="shared" si="4"/>
        <v>3.75</v>
      </c>
      <c r="F34">
        <f t="shared" si="4"/>
        <v>26.8125</v>
      </c>
      <c r="G34">
        <f t="shared" ref="G34:G40" si="5">D34*F34</f>
        <v>1608.75</v>
      </c>
      <c r="H34">
        <f>ABS((C33-Tabla1[[#This Row],[xr]])/Tabla1[[#This Row],[xr]])</f>
        <v>0.81818181818181823</v>
      </c>
    </row>
    <row r="35" spans="1:10" x14ac:dyDescent="0.3">
      <c r="A35">
        <f t="shared" ref="A35:A40" si="6">IF(G34&lt;0,C34,A34)</f>
        <v>5</v>
      </c>
      <c r="B35">
        <f t="shared" ref="B35:B40" si="7">IF(G34&gt;0,C34,B34)</f>
        <v>2.75</v>
      </c>
      <c r="C35">
        <f t="shared" si="3"/>
        <v>3.875</v>
      </c>
      <c r="D35">
        <f t="shared" si="4"/>
        <v>60</v>
      </c>
      <c r="E35">
        <f t="shared" si="4"/>
        <v>26.8125</v>
      </c>
      <c r="F35">
        <f t="shared" si="4"/>
        <v>42.140625</v>
      </c>
      <c r="G35">
        <f t="shared" si="5"/>
        <v>2528.4375</v>
      </c>
      <c r="H35">
        <f>ABS((C34-Tabla1[[#This Row],[xr]])/Tabla1[[#This Row],[xr]])</f>
        <v>0.29032258064516131</v>
      </c>
    </row>
    <row r="36" spans="1:10" x14ac:dyDescent="0.3">
      <c r="A36">
        <f t="shared" si="6"/>
        <v>5</v>
      </c>
      <c r="B36">
        <f t="shared" si="7"/>
        <v>3.875</v>
      </c>
      <c r="C36">
        <f t="shared" si="3"/>
        <v>4.4375</v>
      </c>
      <c r="D36">
        <f t="shared" si="4"/>
        <v>60</v>
      </c>
      <c r="E36">
        <f t="shared" si="4"/>
        <v>42.140625</v>
      </c>
      <c r="F36">
        <f t="shared" si="4"/>
        <v>50.75390625</v>
      </c>
      <c r="G36">
        <f t="shared" si="5"/>
        <v>3045.234375</v>
      </c>
      <c r="H36">
        <f>ABS((C35-Tabla1[[#This Row],[xr]])/Tabla1[[#This Row],[xr]])</f>
        <v>0.12676056338028169</v>
      </c>
    </row>
    <row r="37" spans="1:10" x14ac:dyDescent="0.3">
      <c r="A37">
        <f t="shared" si="6"/>
        <v>5</v>
      </c>
      <c r="B37">
        <f t="shared" si="7"/>
        <v>4.4375</v>
      </c>
      <c r="C37">
        <f t="shared" si="3"/>
        <v>4.71875</v>
      </c>
      <c r="D37">
        <f t="shared" si="4"/>
        <v>60</v>
      </c>
      <c r="E37">
        <f t="shared" si="4"/>
        <v>50.75390625</v>
      </c>
      <c r="F37">
        <f t="shared" si="4"/>
        <v>55.2978515625</v>
      </c>
      <c r="G37">
        <f t="shared" si="5"/>
        <v>3317.87109375</v>
      </c>
      <c r="H37">
        <f>ABS((C36-Tabla1[[#This Row],[xr]])/Tabla1[[#This Row],[xr]])</f>
        <v>5.9602649006622516E-2</v>
      </c>
    </row>
    <row r="38" spans="1:10" x14ac:dyDescent="0.3">
      <c r="A38">
        <f t="shared" si="6"/>
        <v>5</v>
      </c>
      <c r="B38">
        <f t="shared" si="7"/>
        <v>4.71875</v>
      </c>
      <c r="C38">
        <f t="shared" si="3"/>
        <v>4.859375</v>
      </c>
      <c r="D38">
        <f t="shared" si="4"/>
        <v>60</v>
      </c>
      <c r="E38">
        <f t="shared" si="4"/>
        <v>55.2978515625</v>
      </c>
      <c r="F38">
        <f t="shared" si="4"/>
        <v>57.629150390625</v>
      </c>
      <c r="G38">
        <f t="shared" si="5"/>
        <v>3457.7490234375</v>
      </c>
      <c r="H38">
        <f>ABS((C37-Tabla1[[#This Row],[xr]])/Tabla1[[#This Row],[xr]])</f>
        <v>2.8938906752411574E-2</v>
      </c>
    </row>
    <row r="39" spans="1:10" x14ac:dyDescent="0.3">
      <c r="A39">
        <f t="shared" si="6"/>
        <v>5</v>
      </c>
      <c r="B39">
        <f t="shared" si="7"/>
        <v>4.859375</v>
      </c>
      <c r="C39">
        <f t="shared" si="3"/>
        <v>4.9296875</v>
      </c>
      <c r="D39">
        <f t="shared" si="4"/>
        <v>60</v>
      </c>
      <c r="E39">
        <f t="shared" si="4"/>
        <v>57.629150390625</v>
      </c>
      <c r="F39">
        <f t="shared" si="4"/>
        <v>58.80963134765625</v>
      </c>
      <c r="G39">
        <f t="shared" si="5"/>
        <v>3528.577880859375</v>
      </c>
      <c r="H39">
        <f>ABS((C38-Tabla1[[#This Row],[xr]])/Tabla1[[#This Row],[xr]])</f>
        <v>1.4263074484944533E-2</v>
      </c>
    </row>
    <row r="40" spans="1:10" x14ac:dyDescent="0.3">
      <c r="A40">
        <f t="shared" si="6"/>
        <v>5</v>
      </c>
      <c r="B40">
        <f t="shared" si="7"/>
        <v>4.9296875</v>
      </c>
      <c r="C40">
        <f t="shared" si="3"/>
        <v>4.96484375</v>
      </c>
      <c r="D40">
        <f t="shared" si="4"/>
        <v>60</v>
      </c>
      <c r="E40">
        <f t="shared" si="4"/>
        <v>58.80963134765625</v>
      </c>
      <c r="F40">
        <f t="shared" si="4"/>
        <v>59.403579711914063</v>
      </c>
      <c r="G40">
        <f t="shared" si="5"/>
        <v>3564.2147827148438</v>
      </c>
      <c r="H40">
        <f>ABS((C39-Tabla1[[#This Row],[xr]])/Tabla1[[#This Row],[xr]])</f>
        <v>7.0810385523210071E-3</v>
      </c>
    </row>
    <row r="43" spans="1:10" x14ac:dyDescent="0.3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J43" t="s">
        <v>27</v>
      </c>
    </row>
    <row r="44" spans="1:10" x14ac:dyDescent="0.3">
      <c r="A44">
        <v>5</v>
      </c>
      <c r="B44">
        <v>-4</v>
      </c>
      <c r="C44">
        <f>(A44+B44)/2</f>
        <v>0.5</v>
      </c>
      <c r="D44">
        <f t="shared" ref="D44:F51" si="8">(A44^2)+A44+1</f>
        <v>31</v>
      </c>
      <c r="E44">
        <f t="shared" si="8"/>
        <v>13</v>
      </c>
      <c r="F44">
        <f t="shared" si="8"/>
        <v>1.75</v>
      </c>
      <c r="G44">
        <f>D44*F44</f>
        <v>54.25</v>
      </c>
      <c r="H44" t="e">
        <f>ABS((C43-Tabla17[[#This Row],[xr]])/Tabla17[[#This Row],[xr]])</f>
        <v>#VALUE!</v>
      </c>
    </row>
    <row r="45" spans="1:10" x14ac:dyDescent="0.3">
      <c r="A45">
        <f>IF(G44&lt;0,C44,A44)</f>
        <v>5</v>
      </c>
      <c r="B45">
        <f>IF(G44&gt;0,C44,B44)</f>
        <v>0.5</v>
      </c>
      <c r="C45">
        <f t="shared" ref="C45:C51" si="9">(A45+B45)/2</f>
        <v>2.75</v>
      </c>
      <c r="D45">
        <f t="shared" si="8"/>
        <v>31</v>
      </c>
      <c r="E45">
        <f t="shared" si="8"/>
        <v>1.75</v>
      </c>
      <c r="F45">
        <f t="shared" si="8"/>
        <v>11.3125</v>
      </c>
      <c r="G45">
        <f t="shared" ref="G45:G51" si="10">D45*F45</f>
        <v>350.6875</v>
      </c>
      <c r="H45">
        <f>ABS((C44-Tabla17[[#This Row],[xr]])/Tabla17[[#This Row],[xr]])</f>
        <v>0.81818181818181823</v>
      </c>
    </row>
    <row r="46" spans="1:10" x14ac:dyDescent="0.3">
      <c r="A46">
        <f t="shared" ref="A46:A51" si="11">IF(G45&lt;0,C45,A45)</f>
        <v>5</v>
      </c>
      <c r="B46">
        <f t="shared" ref="B46:B51" si="12">IF(G45&gt;0,C45,B45)</f>
        <v>2.75</v>
      </c>
      <c r="C46">
        <f t="shared" si="9"/>
        <v>3.875</v>
      </c>
      <c r="D46">
        <f t="shared" si="8"/>
        <v>31</v>
      </c>
      <c r="E46">
        <f t="shared" si="8"/>
        <v>11.3125</v>
      </c>
      <c r="F46">
        <f t="shared" si="8"/>
        <v>19.890625</v>
      </c>
      <c r="G46">
        <f t="shared" si="10"/>
        <v>616.609375</v>
      </c>
      <c r="H46">
        <f>ABS((C45-Tabla17[[#This Row],[xr]])/Tabla17[[#This Row],[xr]])</f>
        <v>0.29032258064516131</v>
      </c>
    </row>
    <row r="47" spans="1:10" x14ac:dyDescent="0.3">
      <c r="A47">
        <f t="shared" si="11"/>
        <v>5</v>
      </c>
      <c r="B47">
        <f t="shared" si="12"/>
        <v>3.875</v>
      </c>
      <c r="C47">
        <f t="shared" si="9"/>
        <v>4.4375</v>
      </c>
      <c r="D47">
        <f t="shared" si="8"/>
        <v>31</v>
      </c>
      <c r="E47">
        <f t="shared" si="8"/>
        <v>19.890625</v>
      </c>
      <c r="F47">
        <f t="shared" si="8"/>
        <v>25.12890625</v>
      </c>
      <c r="G47">
        <f t="shared" si="10"/>
        <v>778.99609375</v>
      </c>
      <c r="H47">
        <f>ABS((C46-Tabla17[[#This Row],[xr]])/Tabla17[[#This Row],[xr]])</f>
        <v>0.12676056338028169</v>
      </c>
    </row>
    <row r="48" spans="1:10" x14ac:dyDescent="0.3">
      <c r="A48">
        <f t="shared" si="11"/>
        <v>5</v>
      </c>
      <c r="B48">
        <f t="shared" si="12"/>
        <v>4.4375</v>
      </c>
      <c r="C48">
        <f t="shared" si="9"/>
        <v>4.71875</v>
      </c>
      <c r="D48">
        <f t="shared" si="8"/>
        <v>31</v>
      </c>
      <c r="E48">
        <f t="shared" si="8"/>
        <v>25.12890625</v>
      </c>
      <c r="F48">
        <f t="shared" si="8"/>
        <v>27.9853515625</v>
      </c>
      <c r="G48">
        <f t="shared" si="10"/>
        <v>867.5458984375</v>
      </c>
      <c r="H48">
        <f>ABS((C47-Tabla17[[#This Row],[xr]])/Tabla17[[#This Row],[xr]])</f>
        <v>5.9602649006622516E-2</v>
      </c>
    </row>
    <row r="49" spans="1:11" x14ac:dyDescent="0.3">
      <c r="A49">
        <f t="shared" si="11"/>
        <v>5</v>
      </c>
      <c r="B49">
        <f t="shared" si="12"/>
        <v>4.71875</v>
      </c>
      <c r="C49">
        <f t="shared" si="9"/>
        <v>4.859375</v>
      </c>
      <c r="D49">
        <f t="shared" si="8"/>
        <v>31</v>
      </c>
      <c r="E49">
        <f t="shared" si="8"/>
        <v>27.9853515625</v>
      </c>
      <c r="F49">
        <f t="shared" si="8"/>
        <v>29.472900390625</v>
      </c>
      <c r="G49">
        <f t="shared" si="10"/>
        <v>913.659912109375</v>
      </c>
      <c r="H49">
        <f>ABS((C48-Tabla17[[#This Row],[xr]])/Tabla17[[#This Row],[xr]])</f>
        <v>2.8938906752411574E-2</v>
      </c>
    </row>
    <row r="50" spans="1:11" x14ac:dyDescent="0.3">
      <c r="A50">
        <f t="shared" si="11"/>
        <v>5</v>
      </c>
      <c r="B50">
        <f t="shared" si="12"/>
        <v>4.859375</v>
      </c>
      <c r="C50">
        <f t="shared" si="9"/>
        <v>4.9296875</v>
      </c>
      <c r="D50">
        <f t="shared" si="8"/>
        <v>31</v>
      </c>
      <c r="E50">
        <f t="shared" si="8"/>
        <v>29.472900390625</v>
      </c>
      <c r="F50">
        <f t="shared" si="8"/>
        <v>30.23150634765625</v>
      </c>
      <c r="G50">
        <f t="shared" si="10"/>
        <v>937.17669677734375</v>
      </c>
      <c r="H50">
        <f>ABS((C49-Tabla17[[#This Row],[xr]])/Tabla17[[#This Row],[xr]])</f>
        <v>1.4263074484944533E-2</v>
      </c>
    </row>
    <row r="51" spans="1:11" x14ac:dyDescent="0.3">
      <c r="A51">
        <f t="shared" si="11"/>
        <v>5</v>
      </c>
      <c r="B51">
        <f t="shared" si="12"/>
        <v>4.9296875</v>
      </c>
      <c r="C51">
        <f t="shared" si="9"/>
        <v>4.96484375</v>
      </c>
      <c r="D51">
        <f t="shared" si="8"/>
        <v>31</v>
      </c>
      <c r="E51">
        <f t="shared" si="8"/>
        <v>30.23150634765625</v>
      </c>
      <c r="F51">
        <f t="shared" si="8"/>
        <v>30.614517211914063</v>
      </c>
      <c r="G51">
        <f t="shared" si="10"/>
        <v>949.05003356933594</v>
      </c>
      <c r="H51">
        <f>ABS((C50-Tabla17[[#This Row],[xr]])/Tabla17[[#This Row],[xr]])</f>
        <v>7.0810385523210071E-3</v>
      </c>
    </row>
    <row r="53" spans="1:11" x14ac:dyDescent="0.3">
      <c r="K53" s="3" t="s">
        <v>28</v>
      </c>
    </row>
    <row r="55" spans="1:11" x14ac:dyDescent="0.3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</row>
    <row r="56" spans="1:11" x14ac:dyDescent="0.3">
      <c r="A56">
        <v>3</v>
      </c>
      <c r="B56">
        <v>4</v>
      </c>
      <c r="C56">
        <f>(A56+B56)/2</f>
        <v>3.5</v>
      </c>
      <c r="D56">
        <f t="shared" ref="D56:F63" si="13">(A56^3)-A56-1</f>
        <v>23</v>
      </c>
      <c r="E56">
        <f t="shared" si="13"/>
        <v>59</v>
      </c>
      <c r="F56">
        <f t="shared" si="13"/>
        <v>38.375</v>
      </c>
      <c r="G56">
        <f>D56*F56</f>
        <v>882.625</v>
      </c>
      <c r="H56" t="e">
        <f>ABS((C55-Tabla179[[#This Row],[xr]])/Tabla179[[#This Row],[xr]])</f>
        <v>#VALUE!</v>
      </c>
    </row>
    <row r="57" spans="1:11" x14ac:dyDescent="0.3">
      <c r="A57">
        <f>IF(G56&lt;0,C56,A56)</f>
        <v>3</v>
      </c>
      <c r="B57">
        <f>IF(G56&gt;0,C56,B56)</f>
        <v>3.5</v>
      </c>
      <c r="C57">
        <f t="shared" ref="C57:C63" si="14">(A57+B57)/2</f>
        <v>3.25</v>
      </c>
      <c r="D57">
        <f t="shared" si="13"/>
        <v>23</v>
      </c>
      <c r="E57">
        <f t="shared" si="13"/>
        <v>38.375</v>
      </c>
      <c r="F57">
        <f t="shared" si="13"/>
        <v>30.078125</v>
      </c>
      <c r="G57">
        <f t="shared" ref="G57:G63" si="15">D57*F57</f>
        <v>691.796875</v>
      </c>
      <c r="H57">
        <f>ABS((C56-Tabla179[[#This Row],[xr]])/Tabla179[[#This Row],[xr]])</f>
        <v>7.6923076923076927E-2</v>
      </c>
    </row>
    <row r="58" spans="1:11" x14ac:dyDescent="0.3">
      <c r="A58">
        <f t="shared" ref="A58:A63" si="16">IF(G57&lt;0,C57,A57)</f>
        <v>3</v>
      </c>
      <c r="B58">
        <f t="shared" ref="B58:B63" si="17">IF(G57&gt;0,C57,B57)</f>
        <v>3.25</v>
      </c>
      <c r="C58">
        <f t="shared" si="14"/>
        <v>3.125</v>
      </c>
      <c r="D58">
        <f t="shared" si="13"/>
        <v>23</v>
      </c>
      <c r="E58">
        <f t="shared" si="13"/>
        <v>30.078125</v>
      </c>
      <c r="F58">
        <f t="shared" si="13"/>
        <v>26.392578125</v>
      </c>
      <c r="G58">
        <f t="shared" si="15"/>
        <v>607.029296875</v>
      </c>
      <c r="H58">
        <f>ABS((C57-Tabla179[[#This Row],[xr]])/Tabla179[[#This Row],[xr]])</f>
        <v>0.04</v>
      </c>
    </row>
    <row r="59" spans="1:11" x14ac:dyDescent="0.3">
      <c r="A59">
        <f t="shared" si="16"/>
        <v>3</v>
      </c>
      <c r="B59">
        <f t="shared" si="17"/>
        <v>3.125</v>
      </c>
      <c r="C59">
        <f t="shared" si="14"/>
        <v>3.0625</v>
      </c>
      <c r="D59">
        <f t="shared" si="13"/>
        <v>23</v>
      </c>
      <c r="E59">
        <f t="shared" si="13"/>
        <v>26.392578125</v>
      </c>
      <c r="F59">
        <f t="shared" si="13"/>
        <v>24.660400390625</v>
      </c>
      <c r="G59">
        <f t="shared" si="15"/>
        <v>567.189208984375</v>
      </c>
      <c r="H59">
        <f>ABS((C58-Tabla179[[#This Row],[xr]])/Tabla179[[#This Row],[xr]])</f>
        <v>2.0408163265306121E-2</v>
      </c>
    </row>
    <row r="60" spans="1:11" x14ac:dyDescent="0.3">
      <c r="A60">
        <f t="shared" si="16"/>
        <v>3</v>
      </c>
      <c r="B60">
        <f t="shared" si="17"/>
        <v>3.0625</v>
      </c>
      <c r="C60">
        <f t="shared" si="14"/>
        <v>3.03125</v>
      </c>
      <c r="D60">
        <f t="shared" si="13"/>
        <v>23</v>
      </c>
      <c r="E60">
        <f t="shared" si="13"/>
        <v>24.660400390625</v>
      </c>
      <c r="F60">
        <f t="shared" si="13"/>
        <v>23.821319580078125</v>
      </c>
      <c r="G60">
        <f t="shared" si="15"/>
        <v>547.89035034179688</v>
      </c>
      <c r="H60">
        <f>ABS((C59-Tabla179[[#This Row],[xr]])/Tabla179[[#This Row],[xr]])</f>
        <v>1.0309278350515464E-2</v>
      </c>
    </row>
    <row r="61" spans="1:11" x14ac:dyDescent="0.3">
      <c r="A61">
        <f t="shared" si="16"/>
        <v>3</v>
      </c>
      <c r="B61">
        <f t="shared" si="17"/>
        <v>3.03125</v>
      </c>
      <c r="C61">
        <f t="shared" si="14"/>
        <v>3.015625</v>
      </c>
      <c r="D61">
        <f t="shared" si="13"/>
        <v>23</v>
      </c>
      <c r="E61">
        <f t="shared" si="13"/>
        <v>23.821319580078125</v>
      </c>
      <c r="F61">
        <f t="shared" si="13"/>
        <v>23.408451080322266</v>
      </c>
      <c r="G61">
        <f t="shared" si="15"/>
        <v>538.39437484741211</v>
      </c>
      <c r="H61">
        <f>ABS((C60-Tabla179[[#This Row],[xr]])/Tabla179[[#This Row],[xr]])</f>
        <v>5.1813471502590676E-3</v>
      </c>
    </row>
    <row r="62" spans="1:11" x14ac:dyDescent="0.3">
      <c r="A62">
        <f t="shared" si="16"/>
        <v>3</v>
      </c>
      <c r="B62">
        <f t="shared" si="17"/>
        <v>3.015625</v>
      </c>
      <c r="C62">
        <f t="shared" si="14"/>
        <v>3.0078125</v>
      </c>
      <c r="D62">
        <f t="shared" si="13"/>
        <v>23</v>
      </c>
      <c r="E62">
        <f t="shared" si="13"/>
        <v>23.408451080322266</v>
      </c>
      <c r="F62">
        <f t="shared" si="13"/>
        <v>23.203674793243408</v>
      </c>
      <c r="G62">
        <f t="shared" si="15"/>
        <v>533.68452024459839</v>
      </c>
      <c r="H62">
        <f>ABS((C61-Tabla179[[#This Row],[xr]])/Tabla179[[#This Row],[xr]])</f>
        <v>2.5974025974025974E-3</v>
      </c>
    </row>
    <row r="63" spans="1:11" x14ac:dyDescent="0.3">
      <c r="A63">
        <f t="shared" si="16"/>
        <v>3</v>
      </c>
      <c r="B63">
        <f t="shared" si="17"/>
        <v>3.0078125</v>
      </c>
      <c r="C63">
        <f t="shared" si="14"/>
        <v>3.00390625</v>
      </c>
      <c r="D63">
        <f t="shared" si="13"/>
        <v>23</v>
      </c>
      <c r="E63">
        <f t="shared" si="13"/>
        <v>23.203674793243408</v>
      </c>
      <c r="F63">
        <f t="shared" si="13"/>
        <v>23.101699888706207</v>
      </c>
      <c r="G63">
        <f t="shared" si="15"/>
        <v>531.33909744024277</v>
      </c>
      <c r="H63">
        <f>ABS((C62-Tabla179[[#This Row],[xr]])/Tabla179[[#This Row],[xr]])</f>
        <v>1.3003901170351106E-3</v>
      </c>
    </row>
    <row r="67" spans="1:10" x14ac:dyDescent="0.3">
      <c r="A67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</row>
    <row r="68" spans="1:10" x14ac:dyDescent="0.3">
      <c r="A68">
        <v>1</v>
      </c>
      <c r="B68">
        <v>2</v>
      </c>
      <c r="C68">
        <f>(A68+B68)/2</f>
        <v>1.5</v>
      </c>
      <c r="D68">
        <f t="shared" ref="D68:F75" si="18">(A68^2)-2</f>
        <v>-1</v>
      </c>
      <c r="E68">
        <f t="shared" si="18"/>
        <v>2</v>
      </c>
      <c r="F68">
        <f t="shared" si="18"/>
        <v>0.25</v>
      </c>
      <c r="G68">
        <f>D68*F68</f>
        <v>-0.25</v>
      </c>
      <c r="H68" t="e">
        <f>ABS((C67-Tabla17910[[#This Row],[xr]])/Tabla17910[[#This Row],[xr]])</f>
        <v>#VALUE!</v>
      </c>
    </row>
    <row r="69" spans="1:10" x14ac:dyDescent="0.3">
      <c r="A69">
        <f>IF(G68&lt;0,C68,A68)</f>
        <v>1.5</v>
      </c>
      <c r="B69">
        <f>IF(G68&gt;0,C68,B68)</f>
        <v>2</v>
      </c>
      <c r="C69">
        <f t="shared" ref="C69:C75" si="19">(A69+B69)/2</f>
        <v>1.75</v>
      </c>
      <c r="D69">
        <f t="shared" si="18"/>
        <v>0.25</v>
      </c>
      <c r="E69">
        <f t="shared" si="18"/>
        <v>2</v>
      </c>
      <c r="F69">
        <f t="shared" si="18"/>
        <v>1.0625</v>
      </c>
      <c r="G69">
        <f t="shared" ref="G69:G75" si="20">D69*F69</f>
        <v>0.265625</v>
      </c>
      <c r="H69">
        <f>ABS((C68-Tabla17910[[#This Row],[xr]])/Tabla17910[[#This Row],[xr]])</f>
        <v>0.14285714285714285</v>
      </c>
      <c r="J69" t="s">
        <v>29</v>
      </c>
    </row>
    <row r="70" spans="1:10" x14ac:dyDescent="0.3">
      <c r="A70">
        <f t="shared" ref="A70:A75" si="21">IF(G69&lt;0,C69,A69)</f>
        <v>1.5</v>
      </c>
      <c r="B70">
        <f t="shared" ref="B70:B75" si="22">IF(G69&gt;0,C69,B69)</f>
        <v>1.75</v>
      </c>
      <c r="C70">
        <f t="shared" si="19"/>
        <v>1.625</v>
      </c>
      <c r="D70">
        <f t="shared" si="18"/>
        <v>0.25</v>
      </c>
      <c r="E70">
        <f t="shared" si="18"/>
        <v>1.0625</v>
      </c>
      <c r="F70">
        <f t="shared" si="18"/>
        <v>0.640625</v>
      </c>
      <c r="G70">
        <f t="shared" si="20"/>
        <v>0.16015625</v>
      </c>
      <c r="H70">
        <f>ABS((C69-Tabla17910[[#This Row],[xr]])/Tabla17910[[#This Row],[xr]])</f>
        <v>7.6923076923076927E-2</v>
      </c>
    </row>
    <row r="71" spans="1:10" x14ac:dyDescent="0.3">
      <c r="A71">
        <f t="shared" si="21"/>
        <v>1.5</v>
      </c>
      <c r="B71">
        <f t="shared" si="22"/>
        <v>1.625</v>
      </c>
      <c r="C71">
        <f t="shared" si="19"/>
        <v>1.5625</v>
      </c>
      <c r="D71">
        <f t="shared" si="18"/>
        <v>0.25</v>
      </c>
      <c r="E71">
        <f t="shared" si="18"/>
        <v>0.640625</v>
      </c>
      <c r="F71">
        <f t="shared" si="18"/>
        <v>0.44140625</v>
      </c>
      <c r="G71">
        <f t="shared" si="20"/>
        <v>0.1103515625</v>
      </c>
      <c r="H71">
        <f>ABS((C70-Tabla17910[[#This Row],[xr]])/Tabla17910[[#This Row],[xr]])</f>
        <v>0.04</v>
      </c>
    </row>
    <row r="72" spans="1:10" x14ac:dyDescent="0.3">
      <c r="A72">
        <f t="shared" si="21"/>
        <v>1.5</v>
      </c>
      <c r="B72">
        <f t="shared" si="22"/>
        <v>1.5625</v>
      </c>
      <c r="C72">
        <f t="shared" si="19"/>
        <v>1.53125</v>
      </c>
      <c r="D72">
        <f t="shared" si="18"/>
        <v>0.25</v>
      </c>
      <c r="E72">
        <f t="shared" si="18"/>
        <v>0.44140625</v>
      </c>
      <c r="F72">
        <f t="shared" si="18"/>
        <v>0.3447265625</v>
      </c>
      <c r="G72">
        <f t="shared" si="20"/>
        <v>8.6181640625E-2</v>
      </c>
      <c r="H72">
        <f>ABS((C71-Tabla17910[[#This Row],[xr]])/Tabla17910[[#This Row],[xr]])</f>
        <v>2.0408163265306121E-2</v>
      </c>
    </row>
    <row r="73" spans="1:10" x14ac:dyDescent="0.3">
      <c r="A73">
        <f t="shared" si="21"/>
        <v>1.5</v>
      </c>
      <c r="B73">
        <f t="shared" si="22"/>
        <v>1.53125</v>
      </c>
      <c r="C73">
        <f t="shared" si="19"/>
        <v>1.515625</v>
      </c>
      <c r="D73">
        <f t="shared" si="18"/>
        <v>0.25</v>
      </c>
      <c r="E73">
        <f t="shared" si="18"/>
        <v>0.3447265625</v>
      </c>
      <c r="F73">
        <f t="shared" si="18"/>
        <v>0.297119140625</v>
      </c>
      <c r="G73">
        <f t="shared" si="20"/>
        <v>7.427978515625E-2</v>
      </c>
      <c r="H73">
        <f>ABS((C72-Tabla17910[[#This Row],[xr]])/Tabla17910[[#This Row],[xr]])</f>
        <v>1.0309278350515464E-2</v>
      </c>
    </row>
    <row r="74" spans="1:10" x14ac:dyDescent="0.3">
      <c r="A74">
        <f t="shared" si="21"/>
        <v>1.5</v>
      </c>
      <c r="B74">
        <f t="shared" si="22"/>
        <v>1.515625</v>
      </c>
      <c r="C74">
        <f t="shared" si="19"/>
        <v>1.5078125</v>
      </c>
      <c r="D74">
        <f t="shared" si="18"/>
        <v>0.25</v>
      </c>
      <c r="E74">
        <f t="shared" si="18"/>
        <v>0.297119140625</v>
      </c>
      <c r="F74">
        <f t="shared" si="18"/>
        <v>0.27349853515625</v>
      </c>
      <c r="G74">
        <f t="shared" si="20"/>
        <v>6.83746337890625E-2</v>
      </c>
      <c r="H74">
        <f>ABS((C73-Tabla17910[[#This Row],[xr]])/Tabla17910[[#This Row],[xr]])</f>
        <v>5.1813471502590676E-3</v>
      </c>
    </row>
    <row r="75" spans="1:10" x14ac:dyDescent="0.3">
      <c r="A75">
        <f t="shared" si="21"/>
        <v>1.5</v>
      </c>
      <c r="B75">
        <f t="shared" si="22"/>
        <v>1.5078125</v>
      </c>
      <c r="C75">
        <f t="shared" si="19"/>
        <v>1.50390625</v>
      </c>
      <c r="D75">
        <f t="shared" si="18"/>
        <v>0.25</v>
      </c>
      <c r="E75">
        <f t="shared" si="18"/>
        <v>0.27349853515625</v>
      </c>
      <c r="F75">
        <f t="shared" si="18"/>
        <v>0.2617340087890625</v>
      </c>
      <c r="G75">
        <f t="shared" si="20"/>
        <v>6.5433502197265625E-2</v>
      </c>
      <c r="H75">
        <f>ABS((C74-Tabla17910[[#This Row],[xr]])/Tabla17910[[#This Row],[xr]])</f>
        <v>2.5974025974025974E-3</v>
      </c>
    </row>
    <row r="77" spans="1:10" x14ac:dyDescent="0.3">
      <c r="J77" s="3" t="s">
        <v>30</v>
      </c>
    </row>
    <row r="78" spans="1:10" x14ac:dyDescent="0.3">
      <c r="A78" t="s">
        <v>19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</row>
    <row r="79" spans="1:10" x14ac:dyDescent="0.3">
      <c r="A79">
        <v>1</v>
      </c>
      <c r="B79">
        <v>3</v>
      </c>
      <c r="C79">
        <f>(A79+B79)/2</f>
        <v>2</v>
      </c>
      <c r="D79">
        <f t="shared" ref="D79:F86" si="23">(A79^2)-(2*A79)-8</f>
        <v>-9</v>
      </c>
      <c r="E79">
        <f t="shared" si="23"/>
        <v>-5</v>
      </c>
      <c r="F79">
        <f t="shared" si="23"/>
        <v>-8</v>
      </c>
      <c r="G79">
        <f>D79*F79</f>
        <v>72</v>
      </c>
      <c r="H79" t="e">
        <f>ABS((C78-Tabla17913[[#This Row],[xr]])/Tabla17913[[#This Row],[xr]])</f>
        <v>#VALUE!</v>
      </c>
    </row>
    <row r="80" spans="1:10" x14ac:dyDescent="0.3">
      <c r="A80">
        <f>IF(G79&lt;0,C79,A79)</f>
        <v>1</v>
      </c>
      <c r="B80">
        <f>IF(G79&gt;0,C79,B79)</f>
        <v>2</v>
      </c>
      <c r="C80">
        <f t="shared" ref="C80:C86" si="24">(A80+B80)/2</f>
        <v>1.5</v>
      </c>
      <c r="D80">
        <f t="shared" si="23"/>
        <v>-9</v>
      </c>
      <c r="E80">
        <f t="shared" si="23"/>
        <v>-8</v>
      </c>
      <c r="F80">
        <f t="shared" si="23"/>
        <v>-8.75</v>
      </c>
      <c r="G80">
        <f t="shared" ref="G80:G86" si="25">D80*F80</f>
        <v>78.75</v>
      </c>
      <c r="H80">
        <f>ABS((C79-Tabla17913[[#This Row],[xr]])/Tabla17913[[#This Row],[xr]])</f>
        <v>0.33333333333333331</v>
      </c>
    </row>
    <row r="81" spans="1:11" x14ac:dyDescent="0.3">
      <c r="A81">
        <f t="shared" ref="A81:A86" si="26">IF(G80&lt;0,C80,A80)</f>
        <v>1</v>
      </c>
      <c r="B81">
        <f t="shared" ref="B81:B86" si="27">IF(G80&gt;0,C80,B80)</f>
        <v>1.5</v>
      </c>
      <c r="C81">
        <f t="shared" si="24"/>
        <v>1.25</v>
      </c>
      <c r="D81">
        <f t="shared" si="23"/>
        <v>-9</v>
      </c>
      <c r="E81">
        <f t="shared" si="23"/>
        <v>-8.75</v>
      </c>
      <c r="F81">
        <f t="shared" si="23"/>
        <v>-8.9375</v>
      </c>
      <c r="G81">
        <f t="shared" si="25"/>
        <v>80.4375</v>
      </c>
      <c r="H81">
        <f>ABS((C80-Tabla17913[[#This Row],[xr]])/Tabla17913[[#This Row],[xr]])</f>
        <v>0.2</v>
      </c>
    </row>
    <row r="82" spans="1:11" x14ac:dyDescent="0.3">
      <c r="A82">
        <f t="shared" si="26"/>
        <v>1</v>
      </c>
      <c r="B82">
        <f t="shared" si="27"/>
        <v>1.25</v>
      </c>
      <c r="C82">
        <f t="shared" si="24"/>
        <v>1.125</v>
      </c>
      <c r="D82">
        <f t="shared" si="23"/>
        <v>-9</v>
      </c>
      <c r="E82">
        <f t="shared" si="23"/>
        <v>-8.9375</v>
      </c>
      <c r="F82">
        <f t="shared" si="23"/>
        <v>-8.984375</v>
      </c>
      <c r="G82">
        <f t="shared" si="25"/>
        <v>80.859375</v>
      </c>
      <c r="H82">
        <f>ABS((C81-Tabla17913[[#This Row],[xr]])/Tabla17913[[#This Row],[xr]])</f>
        <v>0.1111111111111111</v>
      </c>
    </row>
    <row r="83" spans="1:11" x14ac:dyDescent="0.3">
      <c r="A83">
        <f t="shared" si="26"/>
        <v>1</v>
      </c>
      <c r="B83">
        <f t="shared" si="27"/>
        <v>1.125</v>
      </c>
      <c r="C83">
        <f t="shared" si="24"/>
        <v>1.0625</v>
      </c>
      <c r="D83">
        <f t="shared" si="23"/>
        <v>-9</v>
      </c>
      <c r="E83">
        <f t="shared" si="23"/>
        <v>-8.984375</v>
      </c>
      <c r="F83">
        <f t="shared" si="23"/>
        <v>-8.99609375</v>
      </c>
      <c r="G83">
        <f t="shared" si="25"/>
        <v>80.96484375</v>
      </c>
      <c r="H83">
        <f>ABS((C82-Tabla17913[[#This Row],[xr]])/Tabla17913[[#This Row],[xr]])</f>
        <v>5.8823529411764705E-2</v>
      </c>
    </row>
    <row r="84" spans="1:11" x14ac:dyDescent="0.3">
      <c r="A84">
        <f t="shared" si="26"/>
        <v>1</v>
      </c>
      <c r="B84">
        <f t="shared" si="27"/>
        <v>1.0625</v>
      </c>
      <c r="C84">
        <f t="shared" si="24"/>
        <v>1.03125</v>
      </c>
      <c r="D84">
        <f t="shared" si="23"/>
        <v>-9</v>
      </c>
      <c r="E84">
        <f t="shared" si="23"/>
        <v>-8.99609375</v>
      </c>
      <c r="F84">
        <f t="shared" si="23"/>
        <v>-8.9990234375</v>
      </c>
      <c r="G84">
        <f t="shared" si="25"/>
        <v>80.9912109375</v>
      </c>
      <c r="H84">
        <f>ABS((C83-Tabla17913[[#This Row],[xr]])/Tabla17913[[#This Row],[xr]])</f>
        <v>3.0303030303030304E-2</v>
      </c>
    </row>
    <row r="85" spans="1:11" x14ac:dyDescent="0.3">
      <c r="A85">
        <f t="shared" si="26"/>
        <v>1</v>
      </c>
      <c r="B85">
        <f t="shared" si="27"/>
        <v>1.03125</v>
      </c>
      <c r="C85">
        <f t="shared" si="24"/>
        <v>1.015625</v>
      </c>
      <c r="D85">
        <f t="shared" si="23"/>
        <v>-9</v>
      </c>
      <c r="E85">
        <f t="shared" si="23"/>
        <v>-8.9990234375</v>
      </c>
      <c r="F85">
        <f t="shared" si="23"/>
        <v>-8.999755859375</v>
      </c>
      <c r="G85">
        <f t="shared" si="25"/>
        <v>80.997802734375</v>
      </c>
      <c r="H85">
        <f>ABS((C84-Tabla17913[[#This Row],[xr]])/Tabla17913[[#This Row],[xr]])</f>
        <v>1.5384615384615385E-2</v>
      </c>
    </row>
    <row r="86" spans="1:11" x14ac:dyDescent="0.3">
      <c r="A86">
        <f t="shared" si="26"/>
        <v>1</v>
      </c>
      <c r="B86">
        <f t="shared" si="27"/>
        <v>1.015625</v>
      </c>
      <c r="C86">
        <f t="shared" si="24"/>
        <v>1.0078125</v>
      </c>
      <c r="D86">
        <f t="shared" si="23"/>
        <v>-9</v>
      </c>
      <c r="E86">
        <f t="shared" si="23"/>
        <v>-8.999755859375</v>
      </c>
      <c r="F86">
        <f t="shared" si="23"/>
        <v>-8.99993896484375</v>
      </c>
      <c r="G86">
        <f t="shared" si="25"/>
        <v>80.99945068359375</v>
      </c>
      <c r="H86">
        <f>ABS((C85-Tabla17913[[#This Row],[xr]])/Tabla17913[[#This Row],[xr]])</f>
        <v>7.7519379844961239E-3</v>
      </c>
    </row>
    <row r="88" spans="1:11" x14ac:dyDescent="0.3">
      <c r="A88" s="1" t="s">
        <v>31</v>
      </c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t="s">
        <v>32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33</v>
      </c>
    </row>
    <row r="99" spans="1:11" x14ac:dyDescent="0.3">
      <c r="A99">
        <v>1</v>
      </c>
      <c r="B99">
        <v>3</v>
      </c>
      <c r="C99">
        <v>4</v>
      </c>
      <c r="D99">
        <f t="shared" ref="D99:D110" si="28">C99-(F99*(B99-C99)/(E99-F99))</f>
        <v>3.3125</v>
      </c>
      <c r="E99">
        <f t="shared" ref="E99:G110" si="29">(B99^3)-(3*B99^2)-5</f>
        <v>-5</v>
      </c>
      <c r="F99">
        <f t="shared" si="29"/>
        <v>11</v>
      </c>
      <c r="G99">
        <f t="shared" si="29"/>
        <v>-1.571044921875</v>
      </c>
      <c r="H99">
        <f t="shared" ref="H99:H110" si="30">E99*G99</f>
        <v>7.855224609375</v>
      </c>
      <c r="I99" t="e">
        <f t="shared" ref="I99:I110" si="31">ABS(((D99-D98)/D99)*100)</f>
        <v>#VALUE!</v>
      </c>
      <c r="J99" s="4" t="e">
        <f>Tabla4[[#This Row],[error]]</f>
        <v>#VALUE!</v>
      </c>
    </row>
    <row r="100" spans="1:11" x14ac:dyDescent="0.3">
      <c r="A100">
        <v>2</v>
      </c>
      <c r="B100">
        <f>IF(H99&gt;0,D99,B99)</f>
        <v>3.3125</v>
      </c>
      <c r="C100">
        <f>IF(H99&lt;0,D99,C99)</f>
        <v>4</v>
      </c>
      <c r="D100">
        <f t="shared" si="28"/>
        <v>3.3984191412091436</v>
      </c>
      <c r="E100">
        <f t="shared" si="29"/>
        <v>-1.571044921875</v>
      </c>
      <c r="F100">
        <f t="shared" si="29"/>
        <v>11</v>
      </c>
      <c r="G100">
        <f t="shared" si="29"/>
        <v>-0.39855667385965887</v>
      </c>
      <c r="H100">
        <f t="shared" si="30"/>
        <v>0.62615043854660768</v>
      </c>
      <c r="I100">
        <f t="shared" si="31"/>
        <v>2.5282090771938712</v>
      </c>
      <c r="J100" s="4">
        <f>Tabla4[[#This Row],[error]]</f>
        <v>2.5282090771938712</v>
      </c>
    </row>
    <row r="101" spans="1:11" x14ac:dyDescent="0.3">
      <c r="A101">
        <v>3</v>
      </c>
      <c r="B101">
        <f>IF(H100&gt;0,D100,B100)</f>
        <v>3.3984191412091436</v>
      </c>
      <c r="C101">
        <f>IF(H100&lt;0,D100,C100)</f>
        <v>4</v>
      </c>
      <c r="D101">
        <f t="shared" si="28"/>
        <v>3.4194537399743692</v>
      </c>
      <c r="E101">
        <f t="shared" si="29"/>
        <v>-0.39855667385965887</v>
      </c>
      <c r="F101">
        <f t="shared" si="29"/>
        <v>11</v>
      </c>
      <c r="G101">
        <f t="shared" si="29"/>
        <v>-9.5468405344313112E-2</v>
      </c>
      <c r="H101">
        <f t="shared" si="30"/>
        <v>3.8049570092715118E-2</v>
      </c>
      <c r="I101">
        <f t="shared" si="31"/>
        <v>0.61514500165114927</v>
      </c>
      <c r="J101" s="4">
        <f>Tabla4[[#This Row],[error]]</f>
        <v>0.61514500165114927</v>
      </c>
    </row>
    <row r="102" spans="1:11" x14ac:dyDescent="0.3">
      <c r="A102">
        <v>4</v>
      </c>
      <c r="B102">
        <f t="shared" ref="B102:B110" si="32">IF(H101&gt;0,D101,B101)</f>
        <v>3.4194537399743692</v>
      </c>
      <c r="C102">
        <f t="shared" ref="C102:C110" si="33">IF(H101&lt;0,D101,C101)</f>
        <v>4</v>
      </c>
      <c r="D102">
        <f t="shared" si="28"/>
        <v>3.4244489167121586</v>
      </c>
      <c r="E102">
        <f t="shared" si="29"/>
        <v>-9.5468405344313112E-2</v>
      </c>
      <c r="F102">
        <f t="shared" si="29"/>
        <v>11</v>
      </c>
      <c r="G102">
        <f t="shared" si="29"/>
        <v>-2.2551058417477066E-2</v>
      </c>
      <c r="H102">
        <f t="shared" si="30"/>
        <v>2.1529135859429849E-3</v>
      </c>
      <c r="I102">
        <f t="shared" si="31"/>
        <v>0.14586804648805465</v>
      </c>
      <c r="J102" s="4">
        <f>Tabla4[[#This Row],[error]]</f>
        <v>0.14586804648805465</v>
      </c>
    </row>
    <row r="103" spans="1:11" x14ac:dyDescent="0.3">
      <c r="A103">
        <v>5</v>
      </c>
      <c r="B103">
        <f t="shared" si="32"/>
        <v>3.4244489167121586</v>
      </c>
      <c r="C103">
        <f t="shared" si="33"/>
        <v>4</v>
      </c>
      <c r="D103">
        <f t="shared" si="28"/>
        <v>3.4256264377808003</v>
      </c>
      <c r="E103">
        <f t="shared" si="29"/>
        <v>-2.2551058417477066E-2</v>
      </c>
      <c r="F103">
        <f t="shared" si="29"/>
        <v>11</v>
      </c>
      <c r="G103">
        <f t="shared" si="29"/>
        <v>-5.3092961856791021E-3</v>
      </c>
      <c r="H103">
        <f t="shared" si="30"/>
        <v>1.1973024843893759E-4</v>
      </c>
      <c r="I103">
        <f t="shared" si="31"/>
        <v>3.437389014911383E-2</v>
      </c>
      <c r="J103" s="4">
        <f>Tabla4[[#This Row],[error]]</f>
        <v>3.437389014911383E-2</v>
      </c>
    </row>
    <row r="104" spans="1:11" x14ac:dyDescent="0.3">
      <c r="A104">
        <v>6</v>
      </c>
      <c r="B104">
        <f t="shared" si="32"/>
        <v>3.4256264377808003</v>
      </c>
      <c r="C104">
        <f t="shared" si="33"/>
        <v>4</v>
      </c>
      <c r="D104">
        <f t="shared" si="28"/>
        <v>3.4259035330700804</v>
      </c>
      <c r="E104">
        <f t="shared" si="29"/>
        <v>-5.3092961856791021E-3</v>
      </c>
      <c r="F104">
        <f t="shared" si="29"/>
        <v>11</v>
      </c>
      <c r="G104">
        <f t="shared" si="29"/>
        <v>-1.249016885530807E-3</v>
      </c>
      <c r="H104">
        <f t="shared" si="30"/>
        <v>6.6314005861975052E-6</v>
      </c>
      <c r="I104">
        <f t="shared" si="31"/>
        <v>8.0882396893350167E-3</v>
      </c>
      <c r="J104" s="4">
        <f>Tabla4[[#This Row],[error]]</f>
        <v>8.0882396893350167E-3</v>
      </c>
    </row>
    <row r="105" spans="1:11" x14ac:dyDescent="0.3">
      <c r="A105">
        <v>7</v>
      </c>
      <c r="B105">
        <f t="shared" si="32"/>
        <v>3.4259035330700804</v>
      </c>
      <c r="C105">
        <f t="shared" si="33"/>
        <v>4</v>
      </c>
      <c r="D105">
        <f t="shared" si="28"/>
        <v>3.425968712594698</v>
      </c>
      <c r="E105">
        <f t="shared" si="29"/>
        <v>-1.249016885530807E-3</v>
      </c>
      <c r="F105">
        <f t="shared" si="29"/>
        <v>11</v>
      </c>
      <c r="G105">
        <f t="shared" si="29"/>
        <v>-2.9377847869938023E-4</v>
      </c>
      <c r="H105">
        <f t="shared" si="30"/>
        <v>3.6693428050107841E-7</v>
      </c>
      <c r="I105">
        <f t="shared" si="31"/>
        <v>1.9025137146752697E-3</v>
      </c>
      <c r="J105" s="4">
        <f>Tabla4[[#This Row],[error]]</f>
        <v>1.9025137146752697E-3</v>
      </c>
    </row>
    <row r="106" spans="1:11" x14ac:dyDescent="0.3">
      <c r="A106">
        <v>8</v>
      </c>
      <c r="B106">
        <f t="shared" si="32"/>
        <v>3.425968712594698</v>
      </c>
      <c r="C106">
        <f t="shared" si="33"/>
        <v>4</v>
      </c>
      <c r="D106">
        <f t="shared" si="28"/>
        <v>3.4259840429160273</v>
      </c>
      <c r="E106">
        <f t="shared" si="29"/>
        <v>-2.9377847869938023E-4</v>
      </c>
      <c r="F106">
        <f t="shared" si="29"/>
        <v>11</v>
      </c>
      <c r="G106">
        <f t="shared" si="29"/>
        <v>-6.9095999151613796E-5</v>
      </c>
      <c r="H106">
        <f t="shared" si="30"/>
        <v>2.0298917514974769E-8</v>
      </c>
      <c r="I106">
        <f t="shared" si="31"/>
        <v>4.474720587498177E-4</v>
      </c>
      <c r="J106" s="4">
        <f>Tabla4[[#This Row],[error]]</f>
        <v>4.474720587498177E-4</v>
      </c>
    </row>
    <row r="107" spans="1:11" x14ac:dyDescent="0.3">
      <c r="A107">
        <v>9</v>
      </c>
      <c r="B107">
        <f t="shared" si="32"/>
        <v>3.4259840429160273</v>
      </c>
      <c r="C107">
        <f t="shared" si="33"/>
        <v>4</v>
      </c>
      <c r="D107">
        <f t="shared" si="28"/>
        <v>3.4259876485484773</v>
      </c>
      <c r="E107">
        <f t="shared" si="29"/>
        <v>-6.9095999151613796E-5</v>
      </c>
      <c r="F107">
        <f t="shared" si="29"/>
        <v>11</v>
      </c>
      <c r="G107">
        <f t="shared" si="29"/>
        <v>-1.625104962243995E-5</v>
      </c>
      <c r="H107">
        <f t="shared" si="30"/>
        <v>1.1228825109249444E-9</v>
      </c>
      <c r="I107">
        <f t="shared" si="31"/>
        <v>1.0524359162447711E-4</v>
      </c>
      <c r="J107" s="4">
        <f>Tabla4[[#This Row],[error]]</f>
        <v>1.0524359162447711E-4</v>
      </c>
    </row>
    <row r="108" spans="1:11" x14ac:dyDescent="0.3">
      <c r="A108">
        <v>10</v>
      </c>
      <c r="B108">
        <f t="shared" si="32"/>
        <v>3.4259876485484773</v>
      </c>
      <c r="C108">
        <f t="shared" si="33"/>
        <v>4</v>
      </c>
      <c r="D108">
        <f t="shared" si="28"/>
        <v>3.4259884965747887</v>
      </c>
      <c r="E108">
        <f t="shared" si="29"/>
        <v>-1.625104962243995E-5</v>
      </c>
      <c r="F108">
        <f t="shared" si="29"/>
        <v>11</v>
      </c>
      <c r="G108">
        <f t="shared" si="29"/>
        <v>-3.8221602736143723E-6</v>
      </c>
      <c r="H108">
        <f t="shared" si="30"/>
        <v>6.2114116271425815E-11</v>
      </c>
      <c r="I108">
        <f t="shared" si="31"/>
        <v>2.4752748359869821E-5</v>
      </c>
      <c r="J108" s="4">
        <f>Tabla4[[#This Row],[error]]</f>
        <v>2.4752748359869821E-5</v>
      </c>
    </row>
    <row r="109" spans="1:11" x14ac:dyDescent="0.3">
      <c r="A109">
        <v>11</v>
      </c>
      <c r="B109">
        <f t="shared" si="32"/>
        <v>3.4259884965747887</v>
      </c>
      <c r="C109">
        <f t="shared" si="33"/>
        <v>4</v>
      </c>
      <c r="D109">
        <f t="shared" si="28"/>
        <v>3.4259886960259891</v>
      </c>
      <c r="E109">
        <f t="shared" si="29"/>
        <v>-3.8221602736143723E-6</v>
      </c>
      <c r="F109">
        <f t="shared" si="29"/>
        <v>11</v>
      </c>
      <c r="G109">
        <f t="shared" si="29"/>
        <v>-8.9895122101779634E-7</v>
      </c>
      <c r="H109">
        <f t="shared" si="30"/>
        <v>3.4359356448913547E-12</v>
      </c>
      <c r="I109">
        <f t="shared" si="31"/>
        <v>5.8217121578876173E-6</v>
      </c>
      <c r="J109" s="4">
        <f>Tabla4[[#This Row],[error]]</f>
        <v>5.8217121578876173E-6</v>
      </c>
    </row>
    <row r="110" spans="1:11" x14ac:dyDescent="0.3">
      <c r="A110">
        <v>12</v>
      </c>
      <c r="B110">
        <f t="shared" si="32"/>
        <v>3.4259886960259891</v>
      </c>
      <c r="C110">
        <f t="shared" si="33"/>
        <v>4</v>
      </c>
      <c r="D110">
        <f t="shared" si="28"/>
        <v>3.425988742935818</v>
      </c>
      <c r="E110">
        <f t="shared" si="29"/>
        <v>-8.9895122101779634E-7</v>
      </c>
      <c r="F110">
        <f t="shared" si="29"/>
        <v>11</v>
      </c>
      <c r="G110">
        <f t="shared" si="29"/>
        <v>-2.1142839301546701E-7</v>
      </c>
      <c r="H110">
        <f t="shared" si="30"/>
        <v>1.9006381205908459E-13</v>
      </c>
      <c r="I110">
        <f t="shared" si="31"/>
        <v>1.3692347649106365E-6</v>
      </c>
      <c r="J110" s="4">
        <f>Tabla4[[#This Row],[error]]</f>
        <v>1.3692347649106365E-6</v>
      </c>
    </row>
    <row r="113" spans="1:13" x14ac:dyDescent="0.3">
      <c r="J113" t="s">
        <v>26</v>
      </c>
      <c r="K113" t="s">
        <v>14</v>
      </c>
      <c r="L113" t="s">
        <v>34</v>
      </c>
      <c r="M113" t="s">
        <v>35</v>
      </c>
    </row>
    <row r="114" spans="1:13" x14ac:dyDescent="0.3">
      <c r="M114" t="s">
        <v>36</v>
      </c>
    </row>
    <row r="117" spans="1:13" x14ac:dyDescent="0.3">
      <c r="D117" t="s">
        <v>37</v>
      </c>
      <c r="M117" t="s">
        <v>38</v>
      </c>
    </row>
    <row r="118" spans="1:13" x14ac:dyDescent="0.3">
      <c r="H118" t="s">
        <v>39</v>
      </c>
      <c r="I118" t="s">
        <v>40</v>
      </c>
      <c r="K118" t="s">
        <v>14</v>
      </c>
      <c r="L118" t="s">
        <v>41</v>
      </c>
      <c r="M118" s="5" t="s">
        <v>42</v>
      </c>
    </row>
    <row r="119" spans="1:13" x14ac:dyDescent="0.3">
      <c r="M119" t="s">
        <v>43</v>
      </c>
    </row>
    <row r="123" spans="1:13" x14ac:dyDescent="0.3">
      <c r="B123" t="s">
        <v>44</v>
      </c>
      <c r="F123" t="s">
        <v>45</v>
      </c>
    </row>
    <row r="124" spans="1:13" x14ac:dyDescent="0.3">
      <c r="L124" t="s">
        <v>46</v>
      </c>
    </row>
    <row r="125" spans="1:13" x14ac:dyDescent="0.3">
      <c r="A125" t="s">
        <v>32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33</v>
      </c>
    </row>
    <row r="126" spans="1:13" x14ac:dyDescent="0.3">
      <c r="A126">
        <v>1</v>
      </c>
      <c r="B126">
        <v>3</v>
      </c>
      <c r="C126">
        <v>4</v>
      </c>
      <c r="D126">
        <f t="shared" ref="D126:D156" si="34">C126-(F126*(B126-C126)/(E126-F126))</f>
        <v>2.3888888888888888</v>
      </c>
      <c r="E126">
        <f t="shared" ref="E126:G141" si="35">(B126^3)-(B126)-2</f>
        <v>22</v>
      </c>
      <c r="F126">
        <f t="shared" si="35"/>
        <v>58</v>
      </c>
      <c r="G126">
        <f t="shared" si="35"/>
        <v>9.2439986282578861</v>
      </c>
      <c r="H126">
        <f t="shared" ref="H126:H156" si="36">E126*G126</f>
        <v>203.36796982167348</v>
      </c>
      <c r="I126" t="e">
        <f t="shared" ref="I126:I156" si="37">ABS(((D126-D125)/D126)*100)</f>
        <v>#VALUE!</v>
      </c>
      <c r="J126" s="4" t="e">
        <f>Tabla46[[#This Row],[error]]</f>
        <v>#VALUE!</v>
      </c>
    </row>
    <row r="127" spans="1:13" x14ac:dyDescent="0.3">
      <c r="A127">
        <v>2</v>
      </c>
      <c r="B127">
        <f>IF(H126&gt;0,D126,B126)</f>
        <v>2.3888888888888888</v>
      </c>
      <c r="C127">
        <f>IF(H126&lt;0,D126,C126)</f>
        <v>4</v>
      </c>
      <c r="D127">
        <f t="shared" si="34"/>
        <v>2.0834268230494648</v>
      </c>
      <c r="E127">
        <f t="shared" si="35"/>
        <v>9.2439986282578861</v>
      </c>
      <c r="F127">
        <f t="shared" si="35"/>
        <v>58</v>
      </c>
      <c r="G127">
        <f t="shared" si="35"/>
        <v>4.960035915960896</v>
      </c>
      <c r="H127">
        <f t="shared" si="36"/>
        <v>45.850565203252373</v>
      </c>
      <c r="I127">
        <f t="shared" si="37"/>
        <v>14.661521223592874</v>
      </c>
      <c r="J127" s="4">
        <f>Tabla46[[#This Row],[error]]</f>
        <v>14.661521223592874</v>
      </c>
    </row>
    <row r="128" spans="1:13" x14ac:dyDescent="0.3">
      <c r="A128">
        <v>3</v>
      </c>
      <c r="B128">
        <f>IF(H127&gt;0,D127,B127)</f>
        <v>2.0834268230494648</v>
      </c>
      <c r="C128">
        <f>IF(H127&lt;0,D127,C127)</f>
        <v>4</v>
      </c>
      <c r="D128">
        <f t="shared" si="34"/>
        <v>1.9041983496255437</v>
      </c>
      <c r="E128">
        <f t="shared" si="35"/>
        <v>4.960035915960896</v>
      </c>
      <c r="F128">
        <f t="shared" si="35"/>
        <v>58</v>
      </c>
      <c r="G128">
        <f t="shared" si="35"/>
        <v>3.0003703198153877</v>
      </c>
      <c r="H128">
        <f t="shared" si="36"/>
        <v>14.881944547467404</v>
      </c>
      <c r="I128">
        <f t="shared" si="37"/>
        <v>9.4122796324850295</v>
      </c>
      <c r="J128" s="4">
        <f>Tabla46[[#This Row],[error]]</f>
        <v>9.4122796324850295</v>
      </c>
    </row>
    <row r="129" spans="1:10" x14ac:dyDescent="0.3">
      <c r="A129">
        <v>4</v>
      </c>
      <c r="B129">
        <f t="shared" ref="B129:B156" si="38">IF(H128&gt;0,D128,B128)</f>
        <v>1.9041983496255437</v>
      </c>
      <c r="C129">
        <f t="shared" ref="C129:C156" si="39">IF(H128&lt;0,D128,C128)</f>
        <v>4</v>
      </c>
      <c r="D129">
        <f t="shared" si="34"/>
        <v>1.7898670149498641</v>
      </c>
      <c r="E129">
        <f t="shared" si="35"/>
        <v>3.0003703198153877</v>
      </c>
      <c r="F129">
        <f t="shared" si="35"/>
        <v>58</v>
      </c>
      <c r="G129">
        <f t="shared" si="35"/>
        <v>1.9441937878189388</v>
      </c>
      <c r="H129">
        <f t="shared" si="36"/>
        <v>5.8333013369413997</v>
      </c>
      <c r="I129">
        <f t="shared" si="37"/>
        <v>6.3876999643396468</v>
      </c>
      <c r="J129" s="4">
        <f>Tabla46[[#This Row],[error]]</f>
        <v>6.3876999643396468</v>
      </c>
    </row>
    <row r="130" spans="1:10" x14ac:dyDescent="0.3">
      <c r="A130">
        <v>5</v>
      </c>
      <c r="B130">
        <f t="shared" si="38"/>
        <v>1.7898670149498641</v>
      </c>
      <c r="C130">
        <f t="shared" si="39"/>
        <v>4</v>
      </c>
      <c r="D130">
        <f t="shared" si="34"/>
        <v>1.7132125680666355</v>
      </c>
      <c r="E130">
        <f t="shared" si="35"/>
        <v>1.9441937878189388</v>
      </c>
      <c r="F130">
        <f t="shared" si="35"/>
        <v>58</v>
      </c>
      <c r="G130">
        <f t="shared" si="35"/>
        <v>1.315233020585</v>
      </c>
      <c r="H130">
        <f t="shared" si="36"/>
        <v>2.5570678681556953</v>
      </c>
      <c r="I130">
        <f t="shared" si="37"/>
        <v>4.4743103285620522</v>
      </c>
      <c r="J130" s="4">
        <f>Tabla46[[#This Row],[error]]</f>
        <v>4.4743103285620522</v>
      </c>
    </row>
    <row r="131" spans="1:10" x14ac:dyDescent="0.3">
      <c r="A131">
        <v>6</v>
      </c>
      <c r="B131">
        <f t="shared" si="38"/>
        <v>1.7132125680666355</v>
      </c>
      <c r="C131">
        <f t="shared" si="39"/>
        <v>4</v>
      </c>
      <c r="D131">
        <f t="shared" si="34"/>
        <v>1.6601531924740751</v>
      </c>
      <c r="E131">
        <f t="shared" si="35"/>
        <v>1.315233020585</v>
      </c>
      <c r="F131">
        <f t="shared" si="35"/>
        <v>58</v>
      </c>
      <c r="G131">
        <f t="shared" si="35"/>
        <v>0.91540933594451612</v>
      </c>
      <c r="H131">
        <f t="shared" si="36"/>
        <v>1.203976585986015</v>
      </c>
      <c r="I131">
        <f t="shared" si="37"/>
        <v>3.1960529807184606</v>
      </c>
      <c r="J131" s="4">
        <f>Tabla46[[#This Row],[error]]</f>
        <v>3.1960529807184606</v>
      </c>
    </row>
    <row r="132" spans="1:10" x14ac:dyDescent="0.3">
      <c r="A132">
        <v>7</v>
      </c>
      <c r="B132">
        <f t="shared" si="38"/>
        <v>1.6601531924740751</v>
      </c>
      <c r="C132">
        <f t="shared" si="39"/>
        <v>4</v>
      </c>
      <c r="D132">
        <f t="shared" si="34"/>
        <v>1.6226313746354495</v>
      </c>
      <c r="E132">
        <f t="shared" si="35"/>
        <v>0.91540933594451612</v>
      </c>
      <c r="F132">
        <f t="shared" si="35"/>
        <v>58</v>
      </c>
      <c r="G132">
        <f t="shared" si="35"/>
        <v>0.64964763364817246</v>
      </c>
      <c r="H132">
        <f t="shared" si="36"/>
        <v>0.59469350891579986</v>
      </c>
      <c r="I132">
        <f t="shared" si="37"/>
        <v>2.3124055423281531</v>
      </c>
      <c r="J132" s="4">
        <f>Tabla46[[#This Row],[error]]</f>
        <v>2.3124055423281531</v>
      </c>
    </row>
    <row r="133" spans="1:10" x14ac:dyDescent="0.3">
      <c r="A133">
        <v>8</v>
      </c>
      <c r="B133">
        <f t="shared" si="38"/>
        <v>1.6226313746354495</v>
      </c>
      <c r="C133">
        <f t="shared" si="39"/>
        <v>4</v>
      </c>
      <c r="D133">
        <f t="shared" si="34"/>
        <v>1.5957012541034676</v>
      </c>
      <c r="E133">
        <f t="shared" si="35"/>
        <v>0.64964763364817246</v>
      </c>
      <c r="F133">
        <f t="shared" si="35"/>
        <v>58</v>
      </c>
      <c r="G133">
        <f t="shared" si="35"/>
        <v>0.46737299821186662</v>
      </c>
      <c r="H133">
        <f t="shared" si="36"/>
        <v>0.3036277623193907</v>
      </c>
      <c r="I133">
        <f t="shared" si="37"/>
        <v>1.6876668149961649</v>
      </c>
      <c r="J133" s="4">
        <f>Tabla46[[#This Row],[error]]</f>
        <v>1.6876668149961649</v>
      </c>
    </row>
    <row r="134" spans="1:10" x14ac:dyDescent="0.3">
      <c r="A134">
        <v>9</v>
      </c>
      <c r="B134">
        <f t="shared" si="38"/>
        <v>1.5957012541034676</v>
      </c>
      <c r="C134">
        <f t="shared" si="39"/>
        <v>4</v>
      </c>
      <c r="D134">
        <f t="shared" si="34"/>
        <v>1.5761696531315224</v>
      </c>
      <c r="E134">
        <f t="shared" si="35"/>
        <v>0.46737299821186662</v>
      </c>
      <c r="F134">
        <f t="shared" si="35"/>
        <v>58</v>
      </c>
      <c r="G134">
        <f t="shared" si="35"/>
        <v>0.33952560008473176</v>
      </c>
      <c r="H134">
        <f t="shared" si="36"/>
        <v>0.15868509768128428</v>
      </c>
      <c r="I134">
        <f t="shared" si="37"/>
        <v>1.2391813871774553</v>
      </c>
      <c r="J134" s="4">
        <f>Tabla46[[#This Row],[error]]</f>
        <v>1.2391813871774553</v>
      </c>
    </row>
    <row r="135" spans="1:10" x14ac:dyDescent="0.3">
      <c r="A135">
        <v>10</v>
      </c>
      <c r="B135">
        <f t="shared" si="38"/>
        <v>1.5761696531315224</v>
      </c>
      <c r="C135">
        <f t="shared" si="39"/>
        <v>4</v>
      </c>
      <c r="D135">
        <f t="shared" si="34"/>
        <v>1.5618972687713737</v>
      </c>
      <c r="E135">
        <f t="shared" si="35"/>
        <v>0.33952560008473176</v>
      </c>
      <c r="F135">
        <f t="shared" si="35"/>
        <v>58</v>
      </c>
      <c r="G135">
        <f t="shared" si="35"/>
        <v>0.24838716416687578</v>
      </c>
      <c r="H135">
        <f t="shared" si="36"/>
        <v>8.4333800967103287E-2</v>
      </c>
      <c r="I135">
        <f t="shared" si="37"/>
        <v>0.91378508980783768</v>
      </c>
      <c r="J135" s="4">
        <f>Tabla46[[#This Row],[error]]</f>
        <v>0.91378508980783768</v>
      </c>
    </row>
    <row r="136" spans="1:10" x14ac:dyDescent="0.3">
      <c r="A136">
        <v>11</v>
      </c>
      <c r="B136">
        <f t="shared" si="38"/>
        <v>1.5618972687713737</v>
      </c>
      <c r="C136">
        <f t="shared" si="39"/>
        <v>4</v>
      </c>
      <c r="D136">
        <f t="shared" si="34"/>
        <v>1.5514110954227802</v>
      </c>
      <c r="E136">
        <f t="shared" si="35"/>
        <v>0.24838716416687578</v>
      </c>
      <c r="F136">
        <f t="shared" si="35"/>
        <v>58</v>
      </c>
      <c r="G136">
        <f t="shared" si="35"/>
        <v>0.18264363668152628</v>
      </c>
      <c r="H136">
        <f t="shared" si="36"/>
        <v>4.5366334968449482E-2</v>
      </c>
      <c r="I136">
        <f t="shared" si="37"/>
        <v>0.67591197326946106</v>
      </c>
      <c r="J136" s="4">
        <f>Tabla46[[#This Row],[error]]</f>
        <v>0.67591197326946106</v>
      </c>
    </row>
    <row r="137" spans="1:10" x14ac:dyDescent="0.3">
      <c r="A137">
        <v>12</v>
      </c>
      <c r="B137">
        <f t="shared" si="38"/>
        <v>1.5514110954227802</v>
      </c>
      <c r="C137">
        <f t="shared" si="39"/>
        <v>4</v>
      </c>
      <c r="D137">
        <f t="shared" si="34"/>
        <v>1.5436760620279681</v>
      </c>
      <c r="E137">
        <f t="shared" si="35"/>
        <v>0.18264363668152628</v>
      </c>
      <c r="F137">
        <f t="shared" si="35"/>
        <v>58</v>
      </c>
      <c r="G137">
        <f t="shared" si="35"/>
        <v>0.13480486582082873</v>
      </c>
      <c r="H137">
        <f t="shared" si="36"/>
        <v>2.4621250935881342E-2</v>
      </c>
      <c r="I137">
        <f t="shared" si="37"/>
        <v>0.50107879399583066</v>
      </c>
      <c r="J137" s="4">
        <f>Tabla46[[#This Row],[error]]</f>
        <v>0.50107879399583066</v>
      </c>
    </row>
    <row r="138" spans="1:10" x14ac:dyDescent="0.3">
      <c r="A138">
        <v>13</v>
      </c>
      <c r="B138">
        <f t="shared" si="38"/>
        <v>1.5436760620279681</v>
      </c>
      <c r="C138">
        <f t="shared" si="39"/>
        <v>4</v>
      </c>
      <c r="D138">
        <f t="shared" si="34"/>
        <v>1.5379537203318416</v>
      </c>
      <c r="E138">
        <f t="shared" si="35"/>
        <v>0.13480486582082873</v>
      </c>
      <c r="F138">
        <f t="shared" si="35"/>
        <v>58</v>
      </c>
      <c r="G138">
        <f t="shared" si="35"/>
        <v>9.9770745660257898E-2</v>
      </c>
      <c r="H138">
        <f t="shared" si="36"/>
        <v>1.3449581981575096E-2</v>
      </c>
      <c r="I138">
        <f t="shared" si="37"/>
        <v>0.37207502543651377</v>
      </c>
      <c r="J138" s="4">
        <f>Tabla46[[#This Row],[error]]</f>
        <v>0.37207502543651377</v>
      </c>
    </row>
    <row r="139" spans="1:10" x14ac:dyDescent="0.3">
      <c r="A139">
        <v>14</v>
      </c>
      <c r="B139">
        <f t="shared" si="38"/>
        <v>1.5379537203318416</v>
      </c>
      <c r="C139">
        <f t="shared" si="39"/>
        <v>4</v>
      </c>
      <c r="D139">
        <f t="shared" si="34"/>
        <v>1.5337112467469178</v>
      </c>
      <c r="E139">
        <f t="shared" si="35"/>
        <v>9.9770745660257898E-2</v>
      </c>
      <c r="F139">
        <f t="shared" si="35"/>
        <v>58</v>
      </c>
      <c r="G139">
        <f t="shared" si="35"/>
        <v>7.3991996586562969E-2</v>
      </c>
      <c r="H139">
        <f t="shared" si="36"/>
        <v>7.3822366723326448E-3</v>
      </c>
      <c r="I139">
        <f t="shared" si="37"/>
        <v>0.27661488392435735</v>
      </c>
      <c r="J139" s="4">
        <f>Tabla46[[#This Row],[error]]</f>
        <v>0.27661488392435735</v>
      </c>
    </row>
    <row r="140" spans="1:10" x14ac:dyDescent="0.3">
      <c r="A140">
        <v>15</v>
      </c>
      <c r="B140">
        <f t="shared" si="38"/>
        <v>1.5337112467469178</v>
      </c>
      <c r="C140">
        <f t="shared" si="39"/>
        <v>4</v>
      </c>
      <c r="D140">
        <f t="shared" si="34"/>
        <v>1.5305609238556626</v>
      </c>
      <c r="E140">
        <f t="shared" si="35"/>
        <v>7.3991996586562969E-2</v>
      </c>
      <c r="F140">
        <f t="shared" si="35"/>
        <v>58</v>
      </c>
      <c r="G140">
        <f t="shared" si="35"/>
        <v>5.4956720459260033E-2</v>
      </c>
      <c r="H140">
        <f t="shared" si="36"/>
        <v>4.0663574726302635E-3</v>
      </c>
      <c r="I140">
        <f t="shared" si="37"/>
        <v>0.20582799692280407</v>
      </c>
      <c r="J140" s="4">
        <f>Tabla46[[#This Row],[error]]</f>
        <v>0.20582799692280407</v>
      </c>
    </row>
    <row r="141" spans="1:10" x14ac:dyDescent="0.3">
      <c r="A141">
        <v>16</v>
      </c>
      <c r="B141">
        <f t="shared" si="38"/>
        <v>1.5305609238556626</v>
      </c>
      <c r="C141">
        <f t="shared" si="39"/>
        <v>4</v>
      </c>
      <c r="D141">
        <f t="shared" si="34"/>
        <v>1.5282188378838888</v>
      </c>
      <c r="E141">
        <f t="shared" si="35"/>
        <v>5.4956720459260033E-2</v>
      </c>
      <c r="F141">
        <f t="shared" si="35"/>
        <v>58</v>
      </c>
      <c r="G141">
        <f t="shared" si="35"/>
        <v>4.0864151224132339E-2</v>
      </c>
      <c r="H141">
        <f t="shared" si="36"/>
        <v>2.2457597356295698E-3</v>
      </c>
      <c r="I141">
        <f t="shared" si="37"/>
        <v>0.15325592864807452</v>
      </c>
      <c r="J141" s="4">
        <f>Tabla46[[#This Row],[error]]</f>
        <v>0.15325592864807452</v>
      </c>
    </row>
    <row r="142" spans="1:10" x14ac:dyDescent="0.3">
      <c r="A142">
        <v>17</v>
      </c>
      <c r="B142">
        <f t="shared" si="38"/>
        <v>1.5282188378838888</v>
      </c>
      <c r="C142">
        <f t="shared" si="39"/>
        <v>4</v>
      </c>
      <c r="D142">
        <f t="shared" si="34"/>
        <v>1.5264761059103615</v>
      </c>
      <c r="E142">
        <f t="shared" ref="E142:G160" si="40">(B142^3)-(B142)-2</f>
        <v>4.0864151224132339E-2</v>
      </c>
      <c r="F142">
        <f t="shared" si="40"/>
        <v>58</v>
      </c>
      <c r="G142">
        <f t="shared" si="40"/>
        <v>3.0410597144875595E-2</v>
      </c>
      <c r="H142">
        <f t="shared" si="36"/>
        <v>1.2427032405443635E-3</v>
      </c>
      <c r="I142">
        <f t="shared" si="37"/>
        <v>0.11416699984883967</v>
      </c>
      <c r="J142" s="4">
        <f>Tabla46[[#This Row],[error]]</f>
        <v>0.11416699984883967</v>
      </c>
    </row>
    <row r="143" spans="1:10" x14ac:dyDescent="0.3">
      <c r="A143">
        <v>18</v>
      </c>
      <c r="B143">
        <f t="shared" si="38"/>
        <v>1.5264761059103615</v>
      </c>
      <c r="C143">
        <f t="shared" si="39"/>
        <v>4</v>
      </c>
      <c r="D143">
        <f t="shared" si="34"/>
        <v>1.5251785059196381</v>
      </c>
      <c r="E143">
        <f t="shared" si="40"/>
        <v>3.0410597144875595E-2</v>
      </c>
      <c r="F143">
        <f t="shared" si="40"/>
        <v>58</v>
      </c>
      <c r="G143">
        <f t="shared" si="40"/>
        <v>2.2645178353587259E-2</v>
      </c>
      <c r="H143">
        <f t="shared" si="36"/>
        <v>6.8865339618479928E-4</v>
      </c>
      <c r="I143">
        <f t="shared" si="37"/>
        <v>8.5078565275283333E-2</v>
      </c>
      <c r="J143" s="4">
        <f>Tabla46[[#This Row],[error]]</f>
        <v>8.5078565275283333E-2</v>
      </c>
    </row>
    <row r="144" spans="1:10" x14ac:dyDescent="0.3">
      <c r="A144">
        <v>19</v>
      </c>
      <c r="B144">
        <f t="shared" si="38"/>
        <v>1.5251785059196381</v>
      </c>
      <c r="C144">
        <f t="shared" si="39"/>
        <v>4</v>
      </c>
      <c r="D144">
        <f t="shared" si="34"/>
        <v>1.5242118737871593</v>
      </c>
      <c r="E144">
        <f t="shared" si="40"/>
        <v>2.2645178353587259E-2</v>
      </c>
      <c r="F144">
        <f t="shared" si="40"/>
        <v>58</v>
      </c>
      <c r="G144">
        <f t="shared" si="40"/>
        <v>1.6870434380981347E-2</v>
      </c>
      <c r="H144">
        <f t="shared" si="36"/>
        <v>3.8203399545981304E-4</v>
      </c>
      <c r="I144">
        <f t="shared" si="37"/>
        <v>6.3418488538412268E-2</v>
      </c>
      <c r="J144" s="4">
        <f>Tabla46[[#This Row],[error]]</f>
        <v>6.3418488538412268E-2</v>
      </c>
    </row>
    <row r="145" spans="1:10" x14ac:dyDescent="0.3">
      <c r="A145">
        <v>20</v>
      </c>
      <c r="B145">
        <f t="shared" si="38"/>
        <v>1.5242118737871593</v>
      </c>
      <c r="C145">
        <f t="shared" si="39"/>
        <v>4</v>
      </c>
      <c r="D145">
        <f t="shared" si="34"/>
        <v>1.5234915328632144</v>
      </c>
      <c r="E145">
        <f t="shared" si="40"/>
        <v>1.6870434380981347E-2</v>
      </c>
      <c r="F145">
        <f t="shared" si="40"/>
        <v>58</v>
      </c>
      <c r="G145">
        <f t="shared" si="40"/>
        <v>1.2572612338793032E-2</v>
      </c>
      <c r="H145">
        <f t="shared" si="36"/>
        <v>2.1210543145912429E-4</v>
      </c>
      <c r="I145">
        <f t="shared" si="37"/>
        <v>4.7282240065431455E-2</v>
      </c>
      <c r="J145" s="4">
        <f>Tabla46[[#This Row],[error]]</f>
        <v>4.7282240065431455E-2</v>
      </c>
    </row>
    <row r="146" spans="1:10" x14ac:dyDescent="0.3">
      <c r="A146">
        <v>21</v>
      </c>
      <c r="B146">
        <f t="shared" si="38"/>
        <v>1.5234915328632144</v>
      </c>
      <c r="C146">
        <f t="shared" si="39"/>
        <v>4</v>
      </c>
      <c r="D146">
        <f t="shared" si="34"/>
        <v>1.5229545857642699</v>
      </c>
      <c r="E146">
        <f t="shared" si="40"/>
        <v>1.2572612338793032E-2</v>
      </c>
      <c r="F146">
        <f t="shared" si="40"/>
        <v>58</v>
      </c>
      <c r="G146">
        <f t="shared" si="40"/>
        <v>9.3720717486172056E-3</v>
      </c>
      <c r="H146">
        <f t="shared" si="36"/>
        <v>1.1783142490671827E-4</v>
      </c>
      <c r="I146">
        <f t="shared" si="37"/>
        <v>3.5256934380286556E-2</v>
      </c>
      <c r="J146" s="4">
        <f>Tabla46[[#This Row],[error]]</f>
        <v>3.5256934380286556E-2</v>
      </c>
    </row>
    <row r="147" spans="1:10" x14ac:dyDescent="0.3">
      <c r="A147">
        <v>22</v>
      </c>
      <c r="B147">
        <f t="shared" si="38"/>
        <v>1.5229545857642699</v>
      </c>
      <c r="C147">
        <f t="shared" si="39"/>
        <v>4</v>
      </c>
      <c r="D147">
        <f t="shared" si="34"/>
        <v>1.5225542616399044</v>
      </c>
      <c r="E147">
        <f t="shared" si="40"/>
        <v>9.3720717486172056E-3</v>
      </c>
      <c r="F147">
        <f t="shared" si="40"/>
        <v>58</v>
      </c>
      <c r="G147">
        <f t="shared" si="40"/>
        <v>6.9876038947631613E-3</v>
      </c>
      <c r="H147">
        <f t="shared" si="36"/>
        <v>6.5488325052637375E-5</v>
      </c>
      <c r="I147">
        <f t="shared" si="37"/>
        <v>2.629292987787157E-2</v>
      </c>
      <c r="J147" s="4">
        <f>Tabla46[[#This Row],[error]]</f>
        <v>2.629292987787157E-2</v>
      </c>
    </row>
    <row r="148" spans="1:10" x14ac:dyDescent="0.3">
      <c r="A148">
        <v>23</v>
      </c>
      <c r="B148">
        <f t="shared" si="38"/>
        <v>1.5225542616399044</v>
      </c>
      <c r="C148">
        <f t="shared" si="39"/>
        <v>4</v>
      </c>
      <c r="D148">
        <f t="shared" si="34"/>
        <v>1.522255753099389</v>
      </c>
      <c r="E148">
        <f t="shared" si="40"/>
        <v>6.9876038947631613E-3</v>
      </c>
      <c r="F148">
        <f t="shared" si="40"/>
        <v>58</v>
      </c>
      <c r="G148">
        <f t="shared" si="40"/>
        <v>5.2105374658468762E-3</v>
      </c>
      <c r="H148">
        <f t="shared" si="36"/>
        <v>3.6409171890161003E-5</v>
      </c>
      <c r="I148">
        <f t="shared" si="37"/>
        <v>1.9609618154348047E-2</v>
      </c>
      <c r="J148" s="4">
        <f>Tabla46[[#This Row],[error]]</f>
        <v>1.9609618154348047E-2</v>
      </c>
    </row>
    <row r="149" spans="1:10" x14ac:dyDescent="0.3">
      <c r="A149">
        <v>24</v>
      </c>
      <c r="B149">
        <f t="shared" si="38"/>
        <v>1.522255753099389</v>
      </c>
      <c r="C149">
        <f t="shared" si="39"/>
        <v>4</v>
      </c>
      <c r="D149">
        <f t="shared" si="34"/>
        <v>1.5220331403552287</v>
      </c>
      <c r="E149">
        <f t="shared" si="40"/>
        <v>5.2105374658468762E-3</v>
      </c>
      <c r="F149">
        <f t="shared" si="40"/>
        <v>58</v>
      </c>
      <c r="G149">
        <f t="shared" si="40"/>
        <v>3.8858199674938199E-3</v>
      </c>
      <c r="H149">
        <f t="shared" si="36"/>
        <v>2.0247210526162439E-5</v>
      </c>
      <c r="I149">
        <f t="shared" si="37"/>
        <v>1.4626011632590899E-2</v>
      </c>
      <c r="J149" s="4">
        <f>Tabla46[[#This Row],[error]]</f>
        <v>1.4626011632590899E-2</v>
      </c>
    </row>
    <row r="150" spans="1:10" x14ac:dyDescent="0.3">
      <c r="A150">
        <v>25</v>
      </c>
      <c r="B150">
        <f t="shared" si="38"/>
        <v>1.5220331403552287</v>
      </c>
      <c r="C150">
        <f t="shared" si="39"/>
        <v>4</v>
      </c>
      <c r="D150">
        <f t="shared" si="34"/>
        <v>1.5218671131439554</v>
      </c>
      <c r="E150">
        <f t="shared" si="40"/>
        <v>3.8858199674938199E-3</v>
      </c>
      <c r="F150">
        <f t="shared" si="40"/>
        <v>58</v>
      </c>
      <c r="G150">
        <f t="shared" si="40"/>
        <v>2.8981246567982843E-3</v>
      </c>
      <c r="H150">
        <f t="shared" si="36"/>
        <v>1.1261590659672947E-5</v>
      </c>
      <c r="I150">
        <f t="shared" si="37"/>
        <v>1.0909442081993428E-2</v>
      </c>
      <c r="J150" s="4">
        <f>Tabla46[[#This Row],[error]]</f>
        <v>1.0909442081993428E-2</v>
      </c>
    </row>
    <row r="151" spans="1:10" x14ac:dyDescent="0.3">
      <c r="A151">
        <v>26</v>
      </c>
      <c r="B151">
        <f t="shared" si="38"/>
        <v>1.5218671131439554</v>
      </c>
      <c r="C151">
        <f t="shared" si="39"/>
        <v>4</v>
      </c>
      <c r="D151">
        <f t="shared" si="34"/>
        <v>1.5217432804386997</v>
      </c>
      <c r="E151">
        <f t="shared" si="40"/>
        <v>2.8981246567982843E-3</v>
      </c>
      <c r="F151">
        <f t="shared" si="40"/>
        <v>58</v>
      </c>
      <c r="G151">
        <f t="shared" si="40"/>
        <v>2.1616081975879275E-3</v>
      </c>
      <c r="H151">
        <f t="shared" si="36"/>
        <v>6.2646100157668703E-6</v>
      </c>
      <c r="I151">
        <f t="shared" si="37"/>
        <v>8.1375555816506472E-3</v>
      </c>
      <c r="J151" s="4">
        <f>Tabla46[[#This Row],[error]]</f>
        <v>8.1375555816506472E-3</v>
      </c>
    </row>
    <row r="152" spans="1:10" x14ac:dyDescent="0.3">
      <c r="A152">
        <v>27</v>
      </c>
      <c r="B152">
        <f t="shared" si="38"/>
        <v>1.5217432804386997</v>
      </c>
      <c r="C152">
        <f t="shared" si="39"/>
        <v>4</v>
      </c>
      <c r="D152">
        <f t="shared" si="34"/>
        <v>1.5216509145818113</v>
      </c>
      <c r="E152">
        <f t="shared" si="40"/>
        <v>2.1616081975879275E-3</v>
      </c>
      <c r="F152">
        <f t="shared" si="40"/>
        <v>58</v>
      </c>
      <c r="G152">
        <f t="shared" si="40"/>
        <v>1.6123374336798335E-3</v>
      </c>
      <c r="H152">
        <f t="shared" si="36"/>
        <v>3.4852418139202095E-6</v>
      </c>
      <c r="I152">
        <f t="shared" si="37"/>
        <v>6.0701081965114003E-3</v>
      </c>
      <c r="J152" s="4">
        <f>Tabla46[[#This Row],[error]]</f>
        <v>6.0701081965114003E-3</v>
      </c>
    </row>
    <row r="153" spans="1:10" x14ac:dyDescent="0.3">
      <c r="A153">
        <v>28</v>
      </c>
      <c r="B153">
        <f t="shared" si="38"/>
        <v>1.5216509145818113</v>
      </c>
      <c r="C153">
        <f t="shared" si="39"/>
        <v>4</v>
      </c>
      <c r="D153">
        <f t="shared" si="34"/>
        <v>1.5215820172354335</v>
      </c>
      <c r="E153">
        <f t="shared" si="40"/>
        <v>1.6123374336798335E-3</v>
      </c>
      <c r="F153">
        <f t="shared" si="40"/>
        <v>58</v>
      </c>
      <c r="G153">
        <f t="shared" si="40"/>
        <v>1.2026772563538124E-3</v>
      </c>
      <c r="H153">
        <f t="shared" si="36"/>
        <v>1.939121561054609E-6</v>
      </c>
      <c r="I153">
        <f t="shared" si="37"/>
        <v>4.5280074026510441E-3</v>
      </c>
      <c r="J153" s="4">
        <f>Tabla46[[#This Row],[error]]</f>
        <v>4.5280074026510441E-3</v>
      </c>
    </row>
    <row r="154" spans="1:10" x14ac:dyDescent="0.3">
      <c r="A154">
        <v>29</v>
      </c>
      <c r="B154">
        <f t="shared" si="38"/>
        <v>1.5215820172354335</v>
      </c>
      <c r="C154">
        <f t="shared" si="39"/>
        <v>4</v>
      </c>
      <c r="D154">
        <f t="shared" si="34"/>
        <v>1.5215306241535562</v>
      </c>
      <c r="E154">
        <f t="shared" si="40"/>
        <v>1.2026772563538124E-3</v>
      </c>
      <c r="F154">
        <f t="shared" si="40"/>
        <v>58</v>
      </c>
      <c r="G154">
        <f t="shared" si="40"/>
        <v>8.9712478050030242E-4</v>
      </c>
      <c r="H154">
        <f t="shared" si="36"/>
        <v>1.0789515696191198E-6</v>
      </c>
      <c r="I154">
        <f t="shared" si="37"/>
        <v>3.3777224763966835E-3</v>
      </c>
      <c r="J154" s="4">
        <f>Tabla46[[#This Row],[error]]</f>
        <v>3.3777224763966835E-3</v>
      </c>
    </row>
    <row r="155" spans="1:10" x14ac:dyDescent="0.3">
      <c r="A155">
        <v>30</v>
      </c>
      <c r="B155">
        <f t="shared" si="38"/>
        <v>1.5215306241535562</v>
      </c>
      <c r="C155">
        <f t="shared" si="39"/>
        <v>4</v>
      </c>
      <c r="D155">
        <f t="shared" si="34"/>
        <v>1.5214922874175629</v>
      </c>
      <c r="E155">
        <f t="shared" si="40"/>
        <v>8.9712478050030242E-4</v>
      </c>
      <c r="F155">
        <f t="shared" si="40"/>
        <v>58</v>
      </c>
      <c r="G155">
        <f t="shared" si="40"/>
        <v>6.6921321737556383E-4</v>
      </c>
      <c r="H155">
        <f t="shared" si="36"/>
        <v>6.0036776074595391E-7</v>
      </c>
      <c r="I155">
        <f t="shared" si="37"/>
        <v>2.5196799425360977E-3</v>
      </c>
      <c r="J155" s="4">
        <f>Tabla46[[#This Row],[error]]</f>
        <v>2.5196799425360977E-3</v>
      </c>
    </row>
    <row r="156" spans="1:10" x14ac:dyDescent="0.3">
      <c r="A156">
        <v>31</v>
      </c>
      <c r="B156">
        <f t="shared" si="38"/>
        <v>1.5214922874175629</v>
      </c>
      <c r="C156">
        <f t="shared" si="39"/>
        <v>4</v>
      </c>
      <c r="D156">
        <f t="shared" si="34"/>
        <v>1.5214636896717244</v>
      </c>
      <c r="E156">
        <f t="shared" si="40"/>
        <v>6.6921321737556383E-4</v>
      </c>
      <c r="F156">
        <f t="shared" si="40"/>
        <v>58</v>
      </c>
      <c r="G156">
        <f t="shared" si="40"/>
        <v>4.9920860351759799E-4</v>
      </c>
      <c r="H156">
        <f t="shared" si="36"/>
        <v>3.3407699570157398E-7</v>
      </c>
      <c r="I156">
        <f t="shared" si="37"/>
        <v>1.8796206595434086E-3</v>
      </c>
      <c r="J156" s="4">
        <f>Tabla46[[#This Row],[error]]</f>
        <v>1.8796206595434086E-3</v>
      </c>
    </row>
    <row r="162" spans="1:12" x14ac:dyDescent="0.3">
      <c r="L162" s="3" t="s">
        <v>47</v>
      </c>
    </row>
    <row r="163" spans="1:12" x14ac:dyDescent="0.3">
      <c r="A163" t="s">
        <v>32</v>
      </c>
      <c r="B16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t="s">
        <v>33</v>
      </c>
    </row>
    <row r="164" spans="1:12" x14ac:dyDescent="0.3">
      <c r="A164">
        <v>1</v>
      </c>
      <c r="B164">
        <v>3</v>
      </c>
      <c r="C164">
        <v>4</v>
      </c>
      <c r="D164">
        <f t="shared" ref="D164:D175" si="41">C164-(F164*(B164-C164)/(E164-F164))</f>
        <v>2.3611111111111112</v>
      </c>
      <c r="E164">
        <f t="shared" ref="E164:G175" si="42">(B164^3)-(B164)-1</f>
        <v>23</v>
      </c>
      <c r="F164">
        <f t="shared" si="42"/>
        <v>59</v>
      </c>
      <c r="G164">
        <f t="shared" si="42"/>
        <v>9.8017189643347056</v>
      </c>
      <c r="H164">
        <f t="shared" ref="H164:H175" si="43">E164*G164</f>
        <v>225.43953617969822</v>
      </c>
      <c r="I164" t="e">
        <f t="shared" ref="I164:I175" si="44">ABS(((D164-D163)/D164)*100)</f>
        <v>#VALUE!</v>
      </c>
      <c r="J164" s="4" t="e">
        <f>Tabla48[[#This Row],[error]]</f>
        <v>#VALUE!</v>
      </c>
    </row>
    <row r="165" spans="1:12" x14ac:dyDescent="0.3">
      <c r="A165">
        <v>2</v>
      </c>
      <c r="B165">
        <f>IF(H164&gt;0,D164,B164)</f>
        <v>2.3611111111111112</v>
      </c>
      <c r="C165">
        <f>IF(H164&lt;0,D164,C164)</f>
        <v>4</v>
      </c>
      <c r="D165">
        <f t="shared" si="41"/>
        <v>2.034597095489012</v>
      </c>
      <c r="E165">
        <f t="shared" si="42"/>
        <v>9.8017189643347056</v>
      </c>
      <c r="F165">
        <f t="shared" si="42"/>
        <v>59</v>
      </c>
      <c r="G165">
        <f t="shared" si="42"/>
        <v>5.387791215782169</v>
      </c>
      <c r="H165">
        <f t="shared" si="43"/>
        <v>52.809615335608029</v>
      </c>
      <c r="I165">
        <f t="shared" si="44"/>
        <v>16.04809209381192</v>
      </c>
      <c r="J165" s="4">
        <f>Tabla48[[#This Row],[error]]</f>
        <v>16.04809209381192</v>
      </c>
    </row>
    <row r="166" spans="1:12" x14ac:dyDescent="0.3">
      <c r="A166">
        <v>3</v>
      </c>
      <c r="B166">
        <f>IF(H165&gt;0,D165,B165)</f>
        <v>2.034597095489012</v>
      </c>
      <c r="C166">
        <f>IF(H165&lt;0,D165,C165)</f>
        <v>4</v>
      </c>
      <c r="D166">
        <f t="shared" si="41"/>
        <v>1.8370827467141435</v>
      </c>
      <c r="E166">
        <f t="shared" si="42"/>
        <v>5.387791215782169</v>
      </c>
      <c r="F166">
        <f t="shared" si="42"/>
        <v>59</v>
      </c>
      <c r="G166">
        <f t="shared" si="42"/>
        <v>3.3628382475095453</v>
      </c>
      <c r="H166">
        <f t="shared" si="43"/>
        <v>18.118270370028231</v>
      </c>
      <c r="I166">
        <f t="shared" si="44"/>
        <v>10.751521624605537</v>
      </c>
      <c r="J166" s="4">
        <f>Tabla48[[#This Row],[error]]</f>
        <v>10.751521624605537</v>
      </c>
    </row>
    <row r="167" spans="1:12" x14ac:dyDescent="0.3">
      <c r="A167">
        <v>4</v>
      </c>
      <c r="B167">
        <f t="shared" ref="B167:B175" si="45">IF(H166&gt;0,D166,B166)</f>
        <v>1.8370827467141435</v>
      </c>
      <c r="C167">
        <f t="shared" ref="C167:C175" si="46">IF(H166&lt;0,D166,C166)</f>
        <v>4</v>
      </c>
      <c r="D167">
        <f t="shared" si="41"/>
        <v>1.7063510444410244</v>
      </c>
      <c r="E167">
        <f t="shared" si="42"/>
        <v>3.3628382475095453</v>
      </c>
      <c r="F167">
        <f t="shared" si="42"/>
        <v>59</v>
      </c>
      <c r="G167">
        <f t="shared" si="42"/>
        <v>2.2619184794409049</v>
      </c>
      <c r="H167">
        <f t="shared" si="43"/>
        <v>7.6064659754125081</v>
      </c>
      <c r="I167">
        <f t="shared" si="44"/>
        <v>7.6614775546344243</v>
      </c>
      <c r="J167" s="4">
        <f>Tabla48[[#This Row],[error]]</f>
        <v>7.6614775546344243</v>
      </c>
    </row>
    <row r="168" spans="1:12" x14ac:dyDescent="0.3">
      <c r="A168">
        <v>5</v>
      </c>
      <c r="B168">
        <f t="shared" si="45"/>
        <v>1.7063510444410244</v>
      </c>
      <c r="C168">
        <f t="shared" si="46"/>
        <v>4</v>
      </c>
      <c r="D168">
        <f t="shared" si="41"/>
        <v>1.6149125111157603</v>
      </c>
      <c r="E168">
        <f t="shared" si="42"/>
        <v>2.2619184794409049</v>
      </c>
      <c r="F168">
        <f t="shared" si="42"/>
        <v>59</v>
      </c>
      <c r="G168">
        <f t="shared" si="42"/>
        <v>1.5966863288833886</v>
      </c>
      <c r="H168">
        <f t="shared" si="43"/>
        <v>3.6115743131719946</v>
      </c>
      <c r="I168">
        <f t="shared" si="44"/>
        <v>5.6621354219423461</v>
      </c>
      <c r="J168" s="4">
        <f>Tabla48[[#This Row],[error]]</f>
        <v>5.6621354219423461</v>
      </c>
    </row>
    <row r="169" spans="1:12" x14ac:dyDescent="0.3">
      <c r="A169">
        <v>6</v>
      </c>
      <c r="B169">
        <f t="shared" si="45"/>
        <v>1.6149125111157603</v>
      </c>
      <c r="C169">
        <f t="shared" si="46"/>
        <v>4</v>
      </c>
      <c r="D169">
        <f t="shared" si="41"/>
        <v>1.5485707558555855</v>
      </c>
      <c r="E169">
        <f t="shared" si="42"/>
        <v>1.5966863288833886</v>
      </c>
      <c r="F169">
        <f t="shared" si="42"/>
        <v>59</v>
      </c>
      <c r="G169">
        <f t="shared" si="42"/>
        <v>1.1650124627895075</v>
      </c>
      <c r="H169">
        <f t="shared" si="43"/>
        <v>1.8601594723147741</v>
      </c>
      <c r="I169">
        <f t="shared" si="44"/>
        <v>4.2840635475852702</v>
      </c>
      <c r="J169" s="4">
        <f>Tabla48[[#This Row],[error]]</f>
        <v>4.2840635475852702</v>
      </c>
    </row>
    <row r="170" spans="1:12" x14ac:dyDescent="0.3">
      <c r="A170">
        <v>7</v>
      </c>
      <c r="B170">
        <f t="shared" si="45"/>
        <v>1.5485707558555855</v>
      </c>
      <c r="C170">
        <f t="shared" si="46"/>
        <v>4</v>
      </c>
      <c r="D170">
        <f t="shared" si="41"/>
        <v>1.4991898232628809</v>
      </c>
      <c r="E170">
        <f t="shared" si="42"/>
        <v>1.1650124627895075</v>
      </c>
      <c r="F170">
        <f t="shared" si="42"/>
        <v>59</v>
      </c>
      <c r="G170">
        <f t="shared" si="42"/>
        <v>0.87034443696833019</v>
      </c>
      <c r="H170">
        <f t="shared" si="43"/>
        <v>1.0139621159876218</v>
      </c>
      <c r="I170">
        <f t="shared" si="44"/>
        <v>3.2938412352099942</v>
      </c>
      <c r="J170" s="4">
        <f>Tabla48[[#This Row],[error]]</f>
        <v>3.2938412352099942</v>
      </c>
    </row>
    <row r="171" spans="1:12" x14ac:dyDescent="0.3">
      <c r="A171">
        <v>8</v>
      </c>
      <c r="B171">
        <f t="shared" si="45"/>
        <v>1.4991898232628809</v>
      </c>
      <c r="C171">
        <f t="shared" si="46"/>
        <v>4</v>
      </c>
      <c r="D171">
        <f t="shared" si="41"/>
        <v>1.4617465216613978</v>
      </c>
      <c r="E171">
        <f t="shared" si="42"/>
        <v>0.87034443696833019</v>
      </c>
      <c r="F171">
        <f t="shared" si="42"/>
        <v>59</v>
      </c>
      <c r="G171">
        <f t="shared" si="42"/>
        <v>0.66157150086645267</v>
      </c>
      <c r="H171">
        <f t="shared" si="43"/>
        <v>0.57579507543590591</v>
      </c>
      <c r="I171">
        <f t="shared" si="44"/>
        <v>2.5615454558376891</v>
      </c>
      <c r="J171" s="4">
        <f>Tabla48[[#This Row],[error]]</f>
        <v>2.5615454558376891</v>
      </c>
    </row>
    <row r="172" spans="1:12" x14ac:dyDescent="0.3">
      <c r="A172">
        <v>9</v>
      </c>
      <c r="B172">
        <f t="shared" si="45"/>
        <v>1.4617465216613978</v>
      </c>
      <c r="C172">
        <f t="shared" si="46"/>
        <v>4</v>
      </c>
      <c r="D172">
        <f t="shared" si="41"/>
        <v>1.4329621301985922</v>
      </c>
      <c r="E172">
        <f t="shared" si="42"/>
        <v>0.66157150086645267</v>
      </c>
      <c r="F172">
        <f t="shared" si="42"/>
        <v>59</v>
      </c>
      <c r="G172">
        <f t="shared" si="42"/>
        <v>0.50945431730477431</v>
      </c>
      <c r="H172">
        <f t="shared" si="43"/>
        <v>0.33704045732221355</v>
      </c>
      <c r="I172">
        <f t="shared" si="44"/>
        <v>2.0087335775451693</v>
      </c>
      <c r="J172" s="4">
        <f>Tabla48[[#This Row],[error]]</f>
        <v>2.0087335775451693</v>
      </c>
    </row>
    <row r="173" spans="1:12" x14ac:dyDescent="0.3">
      <c r="A173">
        <v>10</v>
      </c>
      <c r="B173">
        <f t="shared" si="45"/>
        <v>1.4329621301985922</v>
      </c>
      <c r="C173">
        <f t="shared" si="46"/>
        <v>4</v>
      </c>
      <c r="D173">
        <f t="shared" si="41"/>
        <v>1.4106031573049251</v>
      </c>
      <c r="E173">
        <f t="shared" si="42"/>
        <v>0.50945431730477431</v>
      </c>
      <c r="F173">
        <f t="shared" si="42"/>
        <v>59</v>
      </c>
      <c r="G173">
        <f t="shared" si="42"/>
        <v>0.39621679289691469</v>
      </c>
      <c r="H173">
        <f t="shared" si="43"/>
        <v>0.20185435572998484</v>
      </c>
      <c r="I173">
        <f t="shared" si="44"/>
        <v>1.5850647134794269</v>
      </c>
      <c r="J173" s="4">
        <f>Tabla48[[#This Row],[error]]</f>
        <v>1.5850647134794269</v>
      </c>
    </row>
    <row r="174" spans="1:12" x14ac:dyDescent="0.3">
      <c r="A174">
        <v>11</v>
      </c>
      <c r="B174">
        <f t="shared" si="45"/>
        <v>1.4106031573049251</v>
      </c>
      <c r="C174">
        <f t="shared" si="46"/>
        <v>4</v>
      </c>
      <c r="D174">
        <f t="shared" si="41"/>
        <v>1.3930963948332202</v>
      </c>
      <c r="E174">
        <f t="shared" si="42"/>
        <v>0.39621679289691469</v>
      </c>
      <c r="F174">
        <f t="shared" si="42"/>
        <v>59</v>
      </c>
      <c r="G174">
        <f t="shared" si="42"/>
        <v>0.31051024877197442</v>
      </c>
      <c r="H174">
        <f t="shared" si="43"/>
        <v>0.12302937493005485</v>
      </c>
      <c r="I174">
        <f t="shared" si="44"/>
        <v>1.2566799064755885</v>
      </c>
      <c r="J174" s="4">
        <f>Tabla48[[#This Row],[error]]</f>
        <v>1.2566799064755885</v>
      </c>
    </row>
    <row r="175" spans="1:12" x14ac:dyDescent="0.3">
      <c r="A175">
        <v>12</v>
      </c>
      <c r="B175">
        <f t="shared" si="45"/>
        <v>1.3930963948332202</v>
      </c>
      <c r="C175">
        <f t="shared" si="46"/>
        <v>4</v>
      </c>
      <c r="D175">
        <f t="shared" si="41"/>
        <v>1.3793039715152453</v>
      </c>
      <c r="E175">
        <f t="shared" si="42"/>
        <v>0.31051024877197442</v>
      </c>
      <c r="F175">
        <f t="shared" si="42"/>
        <v>59</v>
      </c>
      <c r="G175">
        <f t="shared" si="42"/>
        <v>0.24479348385485666</v>
      </c>
      <c r="H175">
        <f t="shared" si="43"/>
        <v>7.601088556952984E-2</v>
      </c>
      <c r="I175">
        <f t="shared" si="44"/>
        <v>0.99995531099813673</v>
      </c>
      <c r="J175" s="4">
        <f>Tabla48[[#This Row],[error]]</f>
        <v>0.99995531099813673</v>
      </c>
    </row>
    <row r="180" spans="1:12" x14ac:dyDescent="0.3">
      <c r="A180" t="s">
        <v>32</v>
      </c>
      <c r="B180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t="s">
        <v>33</v>
      </c>
      <c r="L180" t="s">
        <v>29</v>
      </c>
    </row>
    <row r="181" spans="1:12" x14ac:dyDescent="0.3">
      <c r="A181">
        <v>1</v>
      </c>
      <c r="B181">
        <v>2</v>
      </c>
      <c r="C181">
        <v>4</v>
      </c>
      <c r="D181">
        <f t="shared" ref="D181:D192" si="47">C181-(F181*(B181-C181)/(E181-F181))</f>
        <v>1.6666666666666665</v>
      </c>
      <c r="E181">
        <f t="shared" ref="E181:G192" si="48">(B181^2)-2</f>
        <v>2</v>
      </c>
      <c r="F181">
        <f t="shared" si="48"/>
        <v>14</v>
      </c>
      <c r="G181">
        <f t="shared" si="48"/>
        <v>0.77777777777777724</v>
      </c>
      <c r="H181">
        <f t="shared" ref="H181:H192" si="49">E181*G181</f>
        <v>1.5555555555555545</v>
      </c>
      <c r="I181" t="e">
        <f t="shared" ref="I181:I192" si="50">ABS(((D181-D180)/D181)*100)</f>
        <v>#VALUE!</v>
      </c>
      <c r="J181" s="4" t="e">
        <f>Tabla4811[[#This Row],[error]]</f>
        <v>#VALUE!</v>
      </c>
    </row>
    <row r="182" spans="1:12" x14ac:dyDescent="0.3">
      <c r="A182">
        <v>2</v>
      </c>
      <c r="B182">
        <f>IF(H181&gt;0,D181,B181)</f>
        <v>1.6666666666666665</v>
      </c>
      <c r="C182">
        <f>IF(H181&lt;0,D181,C181)</f>
        <v>4</v>
      </c>
      <c r="D182">
        <f t="shared" si="47"/>
        <v>1.5294117647058822</v>
      </c>
      <c r="E182">
        <f t="shared" si="48"/>
        <v>0.77777777777777724</v>
      </c>
      <c r="F182">
        <f t="shared" si="48"/>
        <v>14</v>
      </c>
      <c r="G182">
        <f t="shared" si="48"/>
        <v>0.33910034602076111</v>
      </c>
      <c r="H182">
        <f t="shared" si="49"/>
        <v>0.26374471357170293</v>
      </c>
      <c r="I182">
        <f t="shared" si="50"/>
        <v>8.9743589743589709</v>
      </c>
      <c r="J182" s="4">
        <f>Tabla4811[[#This Row],[error]]</f>
        <v>8.9743589743589709</v>
      </c>
    </row>
    <row r="183" spans="1:12" x14ac:dyDescent="0.3">
      <c r="A183">
        <v>3</v>
      </c>
      <c r="B183">
        <f>IF(H182&gt;0,D182,B182)</f>
        <v>1.5294117647058822</v>
      </c>
      <c r="C183">
        <f>IF(H182&lt;0,D182,C182)</f>
        <v>4</v>
      </c>
      <c r="D183">
        <f t="shared" si="47"/>
        <v>1.4680851063829783</v>
      </c>
      <c r="E183">
        <f t="shared" si="48"/>
        <v>0.33910034602076111</v>
      </c>
      <c r="F183">
        <f t="shared" si="48"/>
        <v>14</v>
      </c>
      <c r="G183">
        <f t="shared" si="48"/>
        <v>0.15527387958352046</v>
      </c>
      <c r="H183">
        <f t="shared" si="49"/>
        <v>5.2653426294757784E-2</v>
      </c>
      <c r="I183">
        <f t="shared" si="50"/>
        <v>4.177323103154329</v>
      </c>
      <c r="J183" s="4">
        <f>Tabla4811[[#This Row],[error]]</f>
        <v>4.177323103154329</v>
      </c>
    </row>
    <row r="184" spans="1:12" x14ac:dyDescent="0.3">
      <c r="A184">
        <v>4</v>
      </c>
      <c r="B184">
        <f t="shared" ref="B184:B192" si="51">IF(H183&gt;0,D183,B183)</f>
        <v>1.4680851063829783</v>
      </c>
      <c r="C184">
        <f t="shared" ref="C184:C192" si="52">IF(H183&lt;0,D183,C183)</f>
        <v>4</v>
      </c>
      <c r="D184">
        <f t="shared" si="47"/>
        <v>1.4396887159533072</v>
      </c>
      <c r="E184">
        <f t="shared" si="48"/>
        <v>0.15527387958352046</v>
      </c>
      <c r="F184">
        <f t="shared" si="48"/>
        <v>14</v>
      </c>
      <c r="G184">
        <f t="shared" si="48"/>
        <v>7.2703598843282258E-2</v>
      </c>
      <c r="H184">
        <f t="shared" si="49"/>
        <v>1.1288969852080387E-2</v>
      </c>
      <c r="I184">
        <f t="shared" si="50"/>
        <v>1.9723979298447245</v>
      </c>
      <c r="J184" s="4">
        <f>Tabla4811[[#This Row],[error]]</f>
        <v>1.9723979298447245</v>
      </c>
    </row>
    <row r="185" spans="1:12" x14ac:dyDescent="0.3">
      <c r="A185">
        <v>5</v>
      </c>
      <c r="B185">
        <f t="shared" si="51"/>
        <v>1.4396887159533072</v>
      </c>
      <c r="C185">
        <f t="shared" si="52"/>
        <v>4</v>
      </c>
      <c r="D185">
        <f t="shared" si="47"/>
        <v>1.4263233190271816</v>
      </c>
      <c r="E185">
        <f t="shared" si="48"/>
        <v>7.2703598843282258E-2</v>
      </c>
      <c r="F185">
        <f t="shared" si="48"/>
        <v>14</v>
      </c>
      <c r="G185">
        <f t="shared" si="48"/>
        <v>3.4398210400715001E-2</v>
      </c>
      <c r="H185">
        <f t="shared" si="49"/>
        <v>2.5008736899004031E-3</v>
      </c>
      <c r="I185">
        <f t="shared" si="50"/>
        <v>0.93705240234320875</v>
      </c>
      <c r="J185" s="4">
        <f>Tabla4811[[#This Row],[error]]</f>
        <v>0.93705240234320875</v>
      </c>
    </row>
    <row r="186" spans="1:12" x14ac:dyDescent="0.3">
      <c r="A186">
        <v>6</v>
      </c>
      <c r="B186">
        <f t="shared" si="51"/>
        <v>1.4263233190271816</v>
      </c>
      <c r="C186">
        <f t="shared" si="52"/>
        <v>4</v>
      </c>
      <c r="D186">
        <f t="shared" si="47"/>
        <v>1.4199841813867646</v>
      </c>
      <c r="E186">
        <f t="shared" si="48"/>
        <v>3.4398210400715001E-2</v>
      </c>
      <c r="F186">
        <f t="shared" si="48"/>
        <v>14</v>
      </c>
      <c r="G186">
        <f t="shared" si="48"/>
        <v>1.6355075388640117E-2</v>
      </c>
      <c r="H186">
        <f t="shared" si="49"/>
        <v>5.625853243379984E-4</v>
      </c>
      <c r="I186">
        <f t="shared" si="50"/>
        <v>0.44642311678613905</v>
      </c>
      <c r="J186" s="4">
        <f>Tabla4811[[#This Row],[error]]</f>
        <v>0.44642311678613905</v>
      </c>
    </row>
    <row r="187" spans="1:12" x14ac:dyDescent="0.3">
      <c r="A187">
        <v>7</v>
      </c>
      <c r="B187">
        <f t="shared" si="51"/>
        <v>1.4199841813867646</v>
      </c>
      <c r="C187">
        <f t="shared" si="52"/>
        <v>4</v>
      </c>
      <c r="D187">
        <f t="shared" si="47"/>
        <v>1.4169666309952325</v>
      </c>
      <c r="E187">
        <f t="shared" si="48"/>
        <v>1.6355075388640117E-2</v>
      </c>
      <c r="F187">
        <f t="shared" si="48"/>
        <v>14</v>
      </c>
      <c r="G187">
        <f t="shared" si="48"/>
        <v>7.7944333539794464E-3</v>
      </c>
      <c r="H187">
        <f t="shared" si="49"/>
        <v>1.2747854511606488E-4</v>
      </c>
      <c r="I187">
        <f t="shared" si="50"/>
        <v>0.21295846532481461</v>
      </c>
      <c r="J187" s="4">
        <f>Tabla4811[[#This Row],[error]]</f>
        <v>0.21295846532481461</v>
      </c>
    </row>
    <row r="188" spans="1:12" x14ac:dyDescent="0.3">
      <c r="A188">
        <v>8</v>
      </c>
      <c r="B188">
        <f t="shared" si="51"/>
        <v>1.4169666309952325</v>
      </c>
      <c r="C188">
        <f t="shared" si="52"/>
        <v>4</v>
      </c>
      <c r="D188">
        <f t="shared" si="47"/>
        <v>1.4155277383667677</v>
      </c>
      <c r="E188">
        <f t="shared" si="48"/>
        <v>7.7944333539794464E-3</v>
      </c>
      <c r="F188">
        <f t="shared" si="48"/>
        <v>14</v>
      </c>
      <c r="G188">
        <f t="shared" si="48"/>
        <v>3.7187780857363961E-3</v>
      </c>
      <c r="H188">
        <f t="shared" si="49"/>
        <v>2.8985767947511603E-5</v>
      </c>
      <c r="I188">
        <f t="shared" si="50"/>
        <v>0.10165061336946603</v>
      </c>
      <c r="J188" s="4">
        <f>Tabla4811[[#This Row],[error]]</f>
        <v>0.10165061336946603</v>
      </c>
    </row>
    <row r="189" spans="1:12" x14ac:dyDescent="0.3">
      <c r="A189">
        <v>9</v>
      </c>
      <c r="B189">
        <f t="shared" si="51"/>
        <v>1.4155277383667677</v>
      </c>
      <c r="C189">
        <f t="shared" si="52"/>
        <v>4</v>
      </c>
      <c r="D189">
        <f t="shared" si="47"/>
        <v>1.4148410503346129</v>
      </c>
      <c r="E189">
        <f t="shared" si="48"/>
        <v>3.7187780857363961E-3</v>
      </c>
      <c r="F189">
        <f t="shared" si="48"/>
        <v>14</v>
      </c>
      <c r="G189">
        <f t="shared" si="48"/>
        <v>1.7751977119506712E-3</v>
      </c>
      <c r="H189">
        <f t="shared" si="49"/>
        <v>6.6015663490515473E-6</v>
      </c>
      <c r="I189">
        <f t="shared" si="50"/>
        <v>4.8534641540996182E-2</v>
      </c>
      <c r="J189" s="4">
        <f>Tabla4811[[#This Row],[error]]</f>
        <v>4.8534641540996182E-2</v>
      </c>
    </row>
    <row r="190" spans="1:12" x14ac:dyDescent="0.3">
      <c r="A190">
        <v>10</v>
      </c>
      <c r="B190">
        <f t="shared" si="51"/>
        <v>1.4148410503346129</v>
      </c>
      <c r="C190">
        <f t="shared" si="52"/>
        <v>4</v>
      </c>
      <c r="D190">
        <f t="shared" si="47"/>
        <v>1.4145132110323235</v>
      </c>
      <c r="E190">
        <f t="shared" si="48"/>
        <v>1.7751977119506712E-3</v>
      </c>
      <c r="F190">
        <f t="shared" si="48"/>
        <v>14</v>
      </c>
      <c r="G190">
        <f t="shared" si="48"/>
        <v>8.4762418497463798E-4</v>
      </c>
      <c r="H190">
        <f t="shared" si="49"/>
        <v>1.5047005137610299E-6</v>
      </c>
      <c r="I190">
        <f t="shared" si="50"/>
        <v>2.3176828588978134E-2</v>
      </c>
      <c r="J190" s="4">
        <f>Tabla4811[[#This Row],[error]]</f>
        <v>2.3176828588978134E-2</v>
      </c>
    </row>
    <row r="191" spans="1:12" x14ac:dyDescent="0.3">
      <c r="A191">
        <v>11</v>
      </c>
      <c r="B191">
        <f t="shared" si="51"/>
        <v>1.4145132110323235</v>
      </c>
      <c r="C191">
        <f t="shared" si="52"/>
        <v>4</v>
      </c>
      <c r="D191">
        <f t="shared" si="47"/>
        <v>1.4143566643305361</v>
      </c>
      <c r="E191">
        <f t="shared" si="48"/>
        <v>8.4762418497463798E-4</v>
      </c>
      <c r="F191">
        <f t="shared" si="48"/>
        <v>14</v>
      </c>
      <c r="G191">
        <f t="shared" si="48"/>
        <v>4.0477393620053093E-4</v>
      </c>
      <c r="H191">
        <f t="shared" si="49"/>
        <v>3.4309617777095112E-7</v>
      </c>
      <c r="I191">
        <f t="shared" si="50"/>
        <v>1.1068403446986272E-2</v>
      </c>
      <c r="J191" s="4">
        <f>Tabla4811[[#This Row],[error]]</f>
        <v>1.1068403446986272E-2</v>
      </c>
    </row>
    <row r="192" spans="1:12" x14ac:dyDescent="0.3">
      <c r="A192">
        <v>12</v>
      </c>
      <c r="B192">
        <f t="shared" si="51"/>
        <v>1.4143566643305361</v>
      </c>
      <c r="C192">
        <f t="shared" si="52"/>
        <v>4</v>
      </c>
      <c r="D192">
        <f t="shared" si="47"/>
        <v>1.4142819049525905</v>
      </c>
      <c r="E192">
        <f t="shared" si="48"/>
        <v>4.0477393620053093E-4</v>
      </c>
      <c r="F192">
        <f t="shared" si="48"/>
        <v>14</v>
      </c>
      <c r="G192">
        <f t="shared" si="48"/>
        <v>1.9330667632821985E-4</v>
      </c>
      <c r="H192">
        <f t="shared" si="49"/>
        <v>7.8245504271215541E-8</v>
      </c>
      <c r="I192">
        <f t="shared" si="50"/>
        <v>5.2860308601664265E-3</v>
      </c>
      <c r="J192" s="4">
        <f>Tabla4811[[#This Row],[error]]</f>
        <v>5.2860308601664265E-3</v>
      </c>
    </row>
    <row r="195" spans="1:12" x14ac:dyDescent="0.3">
      <c r="A195" t="s">
        <v>32</v>
      </c>
      <c r="B195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33</v>
      </c>
    </row>
    <row r="196" spans="1:12" x14ac:dyDescent="0.3">
      <c r="A196">
        <v>1</v>
      </c>
      <c r="B196">
        <v>1</v>
      </c>
      <c r="C196">
        <v>3</v>
      </c>
      <c r="D196">
        <f t="shared" ref="D196:D207" si="53">C196-(F196*(B196-C196)/(E196-F196))</f>
        <v>5.5</v>
      </c>
      <c r="E196">
        <f t="shared" ref="E196:G207" si="54">(B196^2)-(2*B196)-8</f>
        <v>-9</v>
      </c>
      <c r="F196">
        <f t="shared" si="54"/>
        <v>-5</v>
      </c>
      <c r="G196">
        <f t="shared" si="54"/>
        <v>11.25</v>
      </c>
      <c r="H196">
        <f t="shared" ref="H196:H207" si="55">E196*G196</f>
        <v>-101.25</v>
      </c>
      <c r="I196" t="e">
        <f t="shared" ref="I196:I207" si="56">ABS(((D196-D195)/D196)*100)</f>
        <v>#VALUE!</v>
      </c>
      <c r="J196" s="4" t="e">
        <f>Tabla4812[[#This Row],[error]]</f>
        <v>#VALUE!</v>
      </c>
      <c r="L196" s="3" t="s">
        <v>30</v>
      </c>
    </row>
    <row r="197" spans="1:12" x14ac:dyDescent="0.3">
      <c r="A197">
        <v>2</v>
      </c>
      <c r="B197">
        <f>IF(H196&gt;0,D196,B196)</f>
        <v>1</v>
      </c>
      <c r="C197">
        <f>IF(H196&lt;0,D196,C196)</f>
        <v>5.5</v>
      </c>
      <c r="D197">
        <f t="shared" si="53"/>
        <v>3</v>
      </c>
      <c r="E197">
        <f t="shared" si="54"/>
        <v>-9</v>
      </c>
      <c r="F197">
        <f t="shared" si="54"/>
        <v>11.25</v>
      </c>
      <c r="G197">
        <f t="shared" si="54"/>
        <v>-5</v>
      </c>
      <c r="H197">
        <f t="shared" si="55"/>
        <v>45</v>
      </c>
      <c r="I197">
        <f t="shared" si="56"/>
        <v>83.333333333333343</v>
      </c>
      <c r="J197" s="4">
        <f>Tabla4812[[#This Row],[error]]</f>
        <v>83.333333333333343</v>
      </c>
    </row>
    <row r="198" spans="1:12" x14ac:dyDescent="0.3">
      <c r="A198">
        <v>3</v>
      </c>
      <c r="B198">
        <f>IF(H197&gt;0,D197,B197)</f>
        <v>3</v>
      </c>
      <c r="C198">
        <f>IF(H197&lt;0,D197,C197)</f>
        <v>5.5</v>
      </c>
      <c r="D198">
        <f t="shared" si="53"/>
        <v>3.7692307692307692</v>
      </c>
      <c r="E198">
        <f t="shared" si="54"/>
        <v>-5</v>
      </c>
      <c r="F198">
        <f t="shared" si="54"/>
        <v>11.25</v>
      </c>
      <c r="G198">
        <f t="shared" si="54"/>
        <v>-1.331360946745562</v>
      </c>
      <c r="H198">
        <f t="shared" si="55"/>
        <v>6.6568047337278102</v>
      </c>
      <c r="I198">
        <f t="shared" si="56"/>
        <v>20.408163265306118</v>
      </c>
      <c r="J198" s="4">
        <f>Tabla4812[[#This Row],[error]]</f>
        <v>20.408163265306118</v>
      </c>
    </row>
    <row r="199" spans="1:12" x14ac:dyDescent="0.3">
      <c r="A199">
        <v>4</v>
      </c>
      <c r="B199">
        <f t="shared" ref="B199:B207" si="57">IF(H198&gt;0,D198,B198)</f>
        <v>3.7692307692307692</v>
      </c>
      <c r="C199">
        <f t="shared" ref="C199:C207" si="58">IF(H198&lt;0,D198,C198)</f>
        <v>5.5</v>
      </c>
      <c r="D199">
        <f t="shared" si="53"/>
        <v>3.9523809523809526</v>
      </c>
      <c r="E199">
        <f t="shared" si="54"/>
        <v>-1.331360946745562</v>
      </c>
      <c r="F199">
        <f t="shared" si="54"/>
        <v>11.25</v>
      </c>
      <c r="G199">
        <f t="shared" si="54"/>
        <v>-0.28344671201814009</v>
      </c>
      <c r="H199">
        <f t="shared" si="55"/>
        <v>0.37736988286438766</v>
      </c>
      <c r="I199">
        <f t="shared" si="56"/>
        <v>4.6339202965709054</v>
      </c>
      <c r="J199" s="4">
        <f>Tabla4812[[#This Row],[error]]</f>
        <v>4.6339202965709054</v>
      </c>
    </row>
    <row r="200" spans="1:12" x14ac:dyDescent="0.3">
      <c r="A200">
        <v>5</v>
      </c>
      <c r="B200">
        <f t="shared" si="57"/>
        <v>3.9523809523809526</v>
      </c>
      <c r="C200">
        <f t="shared" si="58"/>
        <v>5.5</v>
      </c>
      <c r="D200">
        <f t="shared" si="53"/>
        <v>3.9904153354632586</v>
      </c>
      <c r="E200">
        <f t="shared" si="54"/>
        <v>-0.28344671201814009</v>
      </c>
      <c r="F200">
        <f t="shared" si="54"/>
        <v>11.25</v>
      </c>
      <c r="G200">
        <f t="shared" si="54"/>
        <v>-5.7416121426166811E-2</v>
      </c>
      <c r="H200">
        <f t="shared" si="55"/>
        <v>1.6274410835081268E-2</v>
      </c>
      <c r="I200">
        <f t="shared" si="56"/>
        <v>0.95314346715466602</v>
      </c>
      <c r="J200" s="4">
        <f>Tabla4812[[#This Row],[error]]</f>
        <v>0.95314346715466602</v>
      </c>
    </row>
    <row r="201" spans="1:12" x14ac:dyDescent="0.3">
      <c r="A201">
        <v>6</v>
      </c>
      <c r="B201">
        <f t="shared" si="57"/>
        <v>3.9904153354632586</v>
      </c>
      <c r="C201">
        <f t="shared" si="58"/>
        <v>5.5</v>
      </c>
      <c r="D201">
        <f t="shared" si="53"/>
        <v>3.9980806142034551</v>
      </c>
      <c r="E201">
        <f t="shared" si="54"/>
        <v>-5.7416121426166811E-2</v>
      </c>
      <c r="F201">
        <f t="shared" si="54"/>
        <v>11.25</v>
      </c>
      <c r="G201">
        <f t="shared" si="54"/>
        <v>-1.1512630737433582E-2</v>
      </c>
      <c r="H201">
        <f t="shared" si="55"/>
        <v>6.6101060435510694E-4</v>
      </c>
      <c r="I201">
        <f t="shared" si="56"/>
        <v>0.19172396656948551</v>
      </c>
      <c r="J201" s="4">
        <f>Tabla4812[[#This Row],[error]]</f>
        <v>0.19172396656948551</v>
      </c>
    </row>
    <row r="202" spans="1:12" x14ac:dyDescent="0.3">
      <c r="A202">
        <v>7</v>
      </c>
      <c r="B202">
        <f t="shared" si="57"/>
        <v>3.9980806142034551</v>
      </c>
      <c r="C202">
        <f t="shared" si="58"/>
        <v>5.5</v>
      </c>
      <c r="D202">
        <f t="shared" si="53"/>
        <v>3.9996160245744274</v>
      </c>
      <c r="E202">
        <f t="shared" si="54"/>
        <v>-1.1512630737433582E-2</v>
      </c>
      <c r="F202">
        <f t="shared" si="54"/>
        <v>11.25</v>
      </c>
      <c r="G202">
        <f t="shared" si="54"/>
        <v>-2.3037051163079525E-3</v>
      </c>
      <c r="H202">
        <f t="shared" si="55"/>
        <v>2.6521706331989939E-5</v>
      </c>
      <c r="I202">
        <f t="shared" si="56"/>
        <v>3.8388944377123091E-2</v>
      </c>
      <c r="J202" s="4">
        <f>Tabla4812[[#This Row],[error]]</f>
        <v>3.8388944377123091E-2</v>
      </c>
    </row>
    <row r="203" spans="1:12" x14ac:dyDescent="0.3">
      <c r="A203">
        <v>8</v>
      </c>
      <c r="B203">
        <f t="shared" si="57"/>
        <v>3.9996160245744274</v>
      </c>
      <c r="C203">
        <f t="shared" si="58"/>
        <v>5.5</v>
      </c>
      <c r="D203">
        <f t="shared" si="53"/>
        <v>3.9999232009830274</v>
      </c>
      <c r="E203">
        <f t="shared" si="54"/>
        <v>-2.3037051163079525E-3</v>
      </c>
      <c r="F203">
        <f t="shared" si="54"/>
        <v>11.25</v>
      </c>
      <c r="G203">
        <f t="shared" si="54"/>
        <v>-4.6078820374617635E-4</v>
      </c>
      <c r="H203">
        <f t="shared" si="55"/>
        <v>1.0615201425044178E-6</v>
      </c>
      <c r="I203">
        <f t="shared" si="56"/>
        <v>7.6795576606199624E-3</v>
      </c>
      <c r="J203" s="4">
        <f>Tabla4812[[#This Row],[error]]</f>
        <v>7.6795576606199624E-3</v>
      </c>
    </row>
    <row r="204" spans="1:12" x14ac:dyDescent="0.3">
      <c r="A204">
        <v>9</v>
      </c>
      <c r="B204">
        <f t="shared" si="57"/>
        <v>3.9999232009830274</v>
      </c>
      <c r="C204">
        <f t="shared" si="58"/>
        <v>5.5</v>
      </c>
      <c r="D204">
        <f t="shared" si="53"/>
        <v>3.9999846400393215</v>
      </c>
      <c r="E204">
        <f t="shared" si="54"/>
        <v>-4.6078820374617635E-4</v>
      </c>
      <c r="F204">
        <f t="shared" si="54"/>
        <v>11.25</v>
      </c>
      <c r="G204">
        <f t="shared" si="54"/>
        <v>-9.2159528142232716E-5</v>
      </c>
      <c r="H204">
        <f t="shared" si="55"/>
        <v>4.2466023430754604E-8</v>
      </c>
      <c r="I204">
        <f t="shared" si="56"/>
        <v>1.5359823055088784E-3</v>
      </c>
      <c r="J204" s="4">
        <f>Tabla4812[[#This Row],[error]]</f>
        <v>1.5359823055088784E-3</v>
      </c>
    </row>
    <row r="205" spans="1:12" x14ac:dyDescent="0.3">
      <c r="A205">
        <v>10</v>
      </c>
      <c r="B205">
        <f t="shared" si="57"/>
        <v>3.9999846400393215</v>
      </c>
      <c r="C205">
        <f t="shared" si="58"/>
        <v>5.5</v>
      </c>
      <c r="D205">
        <f t="shared" si="53"/>
        <v>3.9999969280015728</v>
      </c>
      <c r="E205">
        <f t="shared" si="54"/>
        <v>-9.2159528142232716E-5</v>
      </c>
      <c r="F205">
        <f t="shared" si="54"/>
        <v>11.25</v>
      </c>
      <c r="G205">
        <f t="shared" si="54"/>
        <v>-1.8431981125388575E-5</v>
      </c>
      <c r="H205">
        <f t="shared" si="55"/>
        <v>1.6986826832423506E-9</v>
      </c>
      <c r="I205">
        <f t="shared" si="56"/>
        <v>3.0719929221089494E-4</v>
      </c>
      <c r="J205" s="4">
        <f>Tabla4812[[#This Row],[error]]</f>
        <v>3.0719929221089494E-4</v>
      </c>
    </row>
    <row r="206" spans="1:12" x14ac:dyDescent="0.3">
      <c r="A206">
        <v>11</v>
      </c>
      <c r="B206">
        <f t="shared" si="57"/>
        <v>3.9999969280015728</v>
      </c>
      <c r="C206">
        <f t="shared" si="58"/>
        <v>5.5</v>
      </c>
      <c r="D206">
        <f t="shared" si="53"/>
        <v>3.9999993856000629</v>
      </c>
      <c r="E206">
        <f t="shared" si="54"/>
        <v>-1.8431981125388575E-5</v>
      </c>
      <c r="F206">
        <f t="shared" si="54"/>
        <v>11.25</v>
      </c>
      <c r="G206">
        <f t="shared" si="54"/>
        <v>-3.6863992445290705E-6</v>
      </c>
      <c r="H206">
        <f t="shared" si="55"/>
        <v>6.7947641295806531E-11</v>
      </c>
      <c r="I206">
        <f t="shared" si="56"/>
        <v>6.143997168834279E-5</v>
      </c>
      <c r="J206" s="4">
        <f>Tabla4812[[#This Row],[error]]</f>
        <v>6.143997168834279E-5</v>
      </c>
    </row>
    <row r="207" spans="1:12" x14ac:dyDescent="0.3">
      <c r="A207">
        <v>12</v>
      </c>
      <c r="B207">
        <f t="shared" si="57"/>
        <v>3.9999993856000629</v>
      </c>
      <c r="C207">
        <f t="shared" si="58"/>
        <v>5.5</v>
      </c>
      <c r="D207">
        <f t="shared" si="53"/>
        <v>3.9999998771200023</v>
      </c>
      <c r="E207">
        <f t="shared" si="54"/>
        <v>-3.6863992445290705E-6</v>
      </c>
      <c r="F207">
        <f t="shared" si="54"/>
        <v>11.25</v>
      </c>
      <c r="G207">
        <f t="shared" si="54"/>
        <v>-7.3727997040862192E-7</v>
      </c>
      <c r="H207">
        <f t="shared" si="55"/>
        <v>2.7179083259207594E-12</v>
      </c>
      <c r="I207">
        <f t="shared" si="56"/>
        <v>1.2287998862892502E-5</v>
      </c>
      <c r="J207" s="4">
        <f>Tabla4812[[#This Row],[error]]</f>
        <v>1.2287998862892502E-5</v>
      </c>
    </row>
    <row r="210" spans="1:13" x14ac:dyDescent="0.3">
      <c r="A210" s="1" t="s">
        <v>48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23" spans="1:13" x14ac:dyDescent="0.3">
      <c r="A223" t="s">
        <v>49</v>
      </c>
    </row>
    <row r="225" spans="1:7" x14ac:dyDescent="0.3">
      <c r="B225" t="s">
        <v>32</v>
      </c>
      <c r="C225" t="s">
        <v>50</v>
      </c>
      <c r="D225" t="s">
        <v>51</v>
      </c>
      <c r="E225" t="s">
        <v>52</v>
      </c>
      <c r="F225" t="s">
        <v>53</v>
      </c>
      <c r="G225" t="s">
        <v>26</v>
      </c>
    </row>
    <row r="226" spans="1:7" x14ac:dyDescent="0.3">
      <c r="B226">
        <v>1</v>
      </c>
      <c r="C226">
        <v>2</v>
      </c>
      <c r="D226">
        <f>(Tabla114[[#This Row],[x(n)]]^2)-2</f>
        <v>2</v>
      </c>
      <c r="E226">
        <f>2*(Tabla114[[#This Row],[x(n)]])</f>
        <v>4</v>
      </c>
      <c r="F226">
        <f>Tabla114[[#This Row],[x(n)]]-(Tabla114[[#This Row],[f(xn)]]/Tabla114[[#This Row],[f`(xn)]])</f>
        <v>1.5</v>
      </c>
      <c r="G226" t="e">
        <f>ABS((C225-Tabla114[[#This Row],[x(n)]])/Tabla114[[#This Row],[x(n)]])</f>
        <v>#VALUE!</v>
      </c>
    </row>
    <row r="227" spans="1:7" x14ac:dyDescent="0.3">
      <c r="B227">
        <v>2</v>
      </c>
      <c r="C227">
        <f>F226</f>
        <v>1.5</v>
      </c>
      <c r="D227">
        <f>(Tabla114[[#This Row],[x(n)]]^2)-2</f>
        <v>0.25</v>
      </c>
      <c r="E227">
        <f>2*(Tabla114[[#This Row],[x(n)]])</f>
        <v>3</v>
      </c>
      <c r="F227">
        <f>Tabla114[[#This Row],[x(n)]]-(Tabla114[[#This Row],[f(xn)]]/Tabla114[[#This Row],[f`(xn)]])</f>
        <v>1.4166666666666667</v>
      </c>
      <c r="G227">
        <f>ABS((C226-Tabla114[[#This Row],[x(n)]])/Tabla114[[#This Row],[x(n)]])</f>
        <v>0.33333333333333331</v>
      </c>
    </row>
    <row r="228" spans="1:7" x14ac:dyDescent="0.3">
      <c r="B228">
        <v>3</v>
      </c>
      <c r="C228">
        <f t="shared" ref="C228:C232" si="59">F227</f>
        <v>1.4166666666666667</v>
      </c>
      <c r="D228">
        <f>(Tabla114[[#This Row],[x(n)]]^2)-2</f>
        <v>6.9444444444446418E-3</v>
      </c>
      <c r="E228">
        <f>2*(Tabla114[[#This Row],[x(n)]])</f>
        <v>2.8333333333333335</v>
      </c>
      <c r="F228">
        <f>Tabla114[[#This Row],[x(n)]]-(Tabla114[[#This Row],[f(xn)]]/Tabla114[[#This Row],[f`(xn)]])</f>
        <v>1.4142156862745099</v>
      </c>
      <c r="G228">
        <f>ABS((C227-Tabla114[[#This Row],[x(n)]])/Tabla114[[#This Row],[x(n)]])</f>
        <v>5.882352941176465E-2</v>
      </c>
    </row>
    <row r="229" spans="1:7" x14ac:dyDescent="0.3">
      <c r="B229">
        <v>4</v>
      </c>
      <c r="C229">
        <f t="shared" si="59"/>
        <v>1.4142156862745099</v>
      </c>
      <c r="D229">
        <f>(Tabla114[[#This Row],[x(n)]]^2)-2</f>
        <v>6.0073048828712672E-6</v>
      </c>
      <c r="E229">
        <f>2*(Tabla114[[#This Row],[x(n)]])</f>
        <v>2.8284313725490198</v>
      </c>
      <c r="F229">
        <f>Tabla114[[#This Row],[x(n)]]-(Tabla114[[#This Row],[f(xn)]]/Tabla114[[#This Row],[f`(xn)]])</f>
        <v>1.4142135623746899</v>
      </c>
      <c r="G229">
        <f>ABS((C228-Tabla114[[#This Row],[x(n)]])/Tabla114[[#This Row],[x(n)]])</f>
        <v>1.7331022530329228E-3</v>
      </c>
    </row>
    <row r="230" spans="1:7" x14ac:dyDescent="0.3">
      <c r="B230">
        <v>5</v>
      </c>
      <c r="C230">
        <f t="shared" si="59"/>
        <v>1.4142135623746899</v>
      </c>
      <c r="D230">
        <f>(Tabla114[[#This Row],[x(n)]]^2)-2</f>
        <v>4.510614104447086E-12</v>
      </c>
      <c r="E230">
        <f>2*(Tabla114[[#This Row],[x(n)]])</f>
        <v>2.8284271247493797</v>
      </c>
      <c r="F230">
        <f>Tabla114[[#This Row],[x(n)]]-(Tabla114[[#This Row],[f(xn)]]/Tabla114[[#This Row],[f`(xn)]])</f>
        <v>1.4142135623730951</v>
      </c>
      <c r="G230">
        <f>ABS((C229-Tabla114[[#This Row],[x(n)]])/Tabla114[[#This Row],[x(n)]])</f>
        <v>1.5018239652930854E-6</v>
      </c>
    </row>
    <row r="231" spans="1:7" x14ac:dyDescent="0.3">
      <c r="B231">
        <v>6</v>
      </c>
      <c r="C231">
        <f t="shared" si="59"/>
        <v>1.4142135623730951</v>
      </c>
      <c r="D231">
        <f>(Tabla114[[#This Row],[x(n)]]^2)-2</f>
        <v>0</v>
      </c>
      <c r="E231">
        <f>2*(Tabla114[[#This Row],[x(n)]])</f>
        <v>2.8284271247461903</v>
      </c>
      <c r="F231">
        <f>Tabla114[[#This Row],[x(n)]]-(Tabla114[[#This Row],[f(xn)]]/Tabla114[[#This Row],[f`(xn)]])</f>
        <v>1.4142135623730951</v>
      </c>
      <c r="G231">
        <f>ABS((C230-Tabla114[[#This Row],[x(n)]])/Tabla114[[#This Row],[x(n)]])</f>
        <v>1.1276404038266872E-12</v>
      </c>
    </row>
    <row r="232" spans="1:7" x14ac:dyDescent="0.3">
      <c r="B232">
        <v>7</v>
      </c>
      <c r="C232">
        <f t="shared" si="59"/>
        <v>1.4142135623730951</v>
      </c>
      <c r="D232">
        <f>(Tabla114[[#This Row],[x(n)]]^2)-2</f>
        <v>0</v>
      </c>
      <c r="E232">
        <f>2*(Tabla114[[#This Row],[x(n)]])</f>
        <v>2.8284271247461903</v>
      </c>
      <c r="F232">
        <f>Tabla114[[#This Row],[x(n)]]-(Tabla114[[#This Row],[f(xn)]]/Tabla114[[#This Row],[f`(xn)]])</f>
        <v>1.4142135623730951</v>
      </c>
      <c r="G232">
        <f>ABS((C231-Tabla114[[#This Row],[x(n)]])/Tabla114[[#This Row],[x(n)]])</f>
        <v>0</v>
      </c>
    </row>
    <row r="233" spans="1:7" x14ac:dyDescent="0.3">
      <c r="A233" t="s">
        <v>54</v>
      </c>
      <c r="B233" t="s">
        <v>55</v>
      </c>
      <c r="C233" t="s">
        <v>56</v>
      </c>
      <c r="D233" t="s">
        <v>57</v>
      </c>
    </row>
    <row r="235" spans="1:7" x14ac:dyDescent="0.3">
      <c r="A235" t="s">
        <v>53</v>
      </c>
      <c r="B235" t="s">
        <v>14</v>
      </c>
      <c r="C235" s="5" t="s">
        <v>58</v>
      </c>
      <c r="D235" s="5" t="s">
        <v>51</v>
      </c>
    </row>
    <row r="236" spans="1:7" x14ac:dyDescent="0.3">
      <c r="C236" s="6" t="s">
        <v>59</v>
      </c>
      <c r="D236" s="6"/>
    </row>
    <row r="239" spans="1:7" x14ac:dyDescent="0.3">
      <c r="B239" t="s">
        <v>32</v>
      </c>
      <c r="C239" t="s">
        <v>60</v>
      </c>
      <c r="D239" t="s">
        <v>51</v>
      </c>
      <c r="E239" t="s">
        <v>52</v>
      </c>
      <c r="F239" t="s">
        <v>53</v>
      </c>
      <c r="G239" t="s">
        <v>26</v>
      </c>
    </row>
    <row r="240" spans="1:7" x14ac:dyDescent="0.3">
      <c r="B240">
        <v>1</v>
      </c>
      <c r="C240">
        <v>2</v>
      </c>
      <c r="D240">
        <f>(Tabla13[[#This Row],[x(0)]]^3)-(Tabla13[[#This Row],[x(0)]])-1</f>
        <v>5</v>
      </c>
      <c r="E240">
        <f>3*(Tabla13[[#This Row],[x(0)]]^2)-1</f>
        <v>11</v>
      </c>
      <c r="F240">
        <f>Tabla13[[#This Row],[x(0)]]-(Tabla13[[#This Row],[f(xn)]]/Tabla13[[#This Row],[f`(xn)]])</f>
        <v>1.5454545454545454</v>
      </c>
      <c r="G240" t="e">
        <f>ABS((C239-Tabla13[[#This Row],[x(0)]])/Tabla13[[#This Row],[x(0)]])</f>
        <v>#VALUE!</v>
      </c>
    </row>
    <row r="241" spans="1:7" x14ac:dyDescent="0.3">
      <c r="B241">
        <v>2</v>
      </c>
      <c r="C241">
        <f>F240</f>
        <v>1.5454545454545454</v>
      </c>
      <c r="D241">
        <f>(Tabla13[[#This Row],[x(0)]]^3)-(Tabla13[[#This Row],[x(0)]])-1</f>
        <v>1.1457550713749058</v>
      </c>
      <c r="E241">
        <f>3*(Tabla13[[#This Row],[x(0)]]^2)-1</f>
        <v>6.1652892561983466</v>
      </c>
      <c r="F241">
        <f>Tabla13[[#This Row],[x(0)]]-(Tabla13[[#This Row],[f(xn)]]/Tabla13[[#This Row],[f`(xn)]])</f>
        <v>1.359614915915184</v>
      </c>
      <c r="G241">
        <f>ABS((C240-Tabla13[[#This Row],[x(0)]])/Tabla13[[#This Row],[x(0)]])</f>
        <v>0.29411764705882354</v>
      </c>
    </row>
    <row r="242" spans="1:7" x14ac:dyDescent="0.3">
      <c r="B242">
        <v>3</v>
      </c>
      <c r="C242">
        <f t="shared" ref="C242:C246" si="60">F241</f>
        <v>1.359614915915184</v>
      </c>
      <c r="D242">
        <f>(Tabla13[[#This Row],[x(0)]]^3)-(Tabla13[[#This Row],[x(0)]])-1</f>
        <v>0.15370493448007472</v>
      </c>
      <c r="E242">
        <f>3*(Tabla13[[#This Row],[x(0)]]^2)-1</f>
        <v>4.5456581587371589</v>
      </c>
      <c r="F242">
        <f>Tabla13[[#This Row],[x(0)]]-(Tabla13[[#This Row],[f(xn)]]/Tabla13[[#This Row],[f`(xn)]])</f>
        <v>1.325801345005845</v>
      </c>
      <c r="G242">
        <f>ABS((C241-Tabla13[[#This Row],[x(0)]])/Tabla13[[#This Row],[x(0)]])</f>
        <v>0.13668548893071611</v>
      </c>
    </row>
    <row r="243" spans="1:7" x14ac:dyDescent="0.3">
      <c r="B243">
        <v>4</v>
      </c>
      <c r="C243">
        <f t="shared" si="60"/>
        <v>1.325801345005845</v>
      </c>
      <c r="D243">
        <f>(Tabla13[[#This Row],[x(0)]]^3)-(Tabla13[[#This Row],[x(0)]])-1</f>
        <v>4.6249170478298574E-3</v>
      </c>
      <c r="E243">
        <f>3*(Tabla13[[#This Row],[x(0)]]^2)-1</f>
        <v>4.2732476192579227</v>
      </c>
      <c r="F243">
        <f>Tabla13[[#This Row],[x(0)]]-(Tabla13[[#This Row],[f(xn)]]/Tabla13[[#This Row],[f`(xn)]])</f>
        <v>1.3247190494171253</v>
      </c>
      <c r="G243">
        <f>ABS((C242-Tabla13[[#This Row],[x(0)]])/Tabla13[[#This Row],[x(0)]])</f>
        <v>2.55042514753143E-2</v>
      </c>
    </row>
    <row r="244" spans="1:7" x14ac:dyDescent="0.3">
      <c r="B244">
        <v>5</v>
      </c>
      <c r="C244">
        <f t="shared" si="60"/>
        <v>1.3247190494171253</v>
      </c>
      <c r="D244">
        <f>(Tabla13[[#This Row],[x(0)]]^3)-(Tabla13[[#This Row],[x(0)]])-1</f>
        <v>4.6577191092911363E-6</v>
      </c>
      <c r="E244">
        <f>3*(Tabla13[[#This Row],[x(0)]]^2)-1</f>
        <v>4.2646416796658357</v>
      </c>
      <c r="F244">
        <f>Tabla13[[#This Row],[x(0)]]-(Tabla13[[#This Row],[f(xn)]]/Tabla13[[#This Row],[f`(xn)]])</f>
        <v>1.3247179572458576</v>
      </c>
      <c r="G244">
        <f>ABS((C243-Tabla13[[#This Row],[x(0)]])/Tabla13[[#This Row],[x(0)]])</f>
        <v>8.1700009462078713E-4</v>
      </c>
    </row>
    <row r="245" spans="1:7" x14ac:dyDescent="0.3">
      <c r="B245">
        <v>6</v>
      </c>
      <c r="C245">
        <f t="shared" si="60"/>
        <v>1.3247179572458576</v>
      </c>
      <c r="D245">
        <f>(Tabla13[[#This Row],[x(0)]]^3)-(Tabla13[[#This Row],[x(0)]])-1</f>
        <v>4.7404302705444934E-12</v>
      </c>
      <c r="E245">
        <f>3*(Tabla13[[#This Row],[x(0)]]^2)-1</f>
        <v>4.2646329987489136</v>
      </c>
      <c r="F245">
        <f>Tabla13[[#This Row],[x(0)]]-(Tabla13[[#This Row],[f(xn)]]/Tabla13[[#This Row],[f`(xn)]])</f>
        <v>1.3247179572447461</v>
      </c>
      <c r="G245">
        <f>ABS((C244-Tabla13[[#This Row],[x(0)]])/Tabla13[[#This Row],[x(0)]])</f>
        <v>8.2445569766240255E-7</v>
      </c>
    </row>
    <row r="246" spans="1:7" x14ac:dyDescent="0.3">
      <c r="B246">
        <v>7</v>
      </c>
      <c r="C246">
        <f t="shared" si="60"/>
        <v>1.3247179572447461</v>
      </c>
      <c r="D246">
        <f>(Tabla13[[#This Row],[x(0)]]^3)-(Tabla13[[#This Row],[x(0)]])-1</f>
        <v>0</v>
      </c>
      <c r="E246">
        <f>3*(Tabla13[[#This Row],[x(0)]]^2)-1</f>
        <v>4.2646329987400788</v>
      </c>
      <c r="F246">
        <f>Tabla13[[#This Row],[x(0)]]-(Tabla13[[#This Row],[f(xn)]]/Tabla13[[#This Row],[f`(xn)]])</f>
        <v>1.3247179572447461</v>
      </c>
      <c r="G246">
        <f>ABS((C245-Tabla13[[#This Row],[x(0)]])/Tabla13[[#This Row],[x(0)]])</f>
        <v>8.3908826492139355E-13</v>
      </c>
    </row>
    <row r="248" spans="1:7" x14ac:dyDescent="0.3">
      <c r="A248" t="s">
        <v>54</v>
      </c>
      <c r="B248" t="s">
        <v>61</v>
      </c>
      <c r="C248" t="s">
        <v>56</v>
      </c>
      <c r="D248" t="s">
        <v>62</v>
      </c>
    </row>
    <row r="258" spans="1:10" x14ac:dyDescent="0.3">
      <c r="I258" s="3" t="s">
        <v>63</v>
      </c>
    </row>
    <row r="259" spans="1:10" x14ac:dyDescent="0.3">
      <c r="A259" t="s">
        <v>32</v>
      </c>
      <c r="B259" t="s">
        <v>60</v>
      </c>
      <c r="C259" t="s">
        <v>51</v>
      </c>
      <c r="D259" t="s">
        <v>52</v>
      </c>
      <c r="E259" t="s">
        <v>53</v>
      </c>
      <c r="F259" t="s">
        <v>26</v>
      </c>
    </row>
    <row r="260" spans="1:10" x14ac:dyDescent="0.3">
      <c r="A260">
        <v>1</v>
      </c>
      <c r="B260">
        <v>2</v>
      </c>
      <c r="C260">
        <f>(Tabla137[[#This Row],[x(0)]]^3)-(Tabla137[[#This Row],[x(0)]])</f>
        <v>6</v>
      </c>
      <c r="D260">
        <f>3*(Tabla137[[#This Row],[x(0)]]^2)-1</f>
        <v>11</v>
      </c>
      <c r="E260">
        <f>Tabla137[[#This Row],[x(0)]]-(Tabla137[[#This Row],[f(xn)]]/Tabla137[[#This Row],[f`(xn)]])</f>
        <v>1.4545454545454546</v>
      </c>
      <c r="F260" t="e">
        <f>ABS((B259-Tabla137[[#This Row],[x(0)]])/Tabla137[[#This Row],[x(0)]])</f>
        <v>#VALUE!</v>
      </c>
    </row>
    <row r="261" spans="1:10" x14ac:dyDescent="0.3">
      <c r="A261">
        <v>2</v>
      </c>
      <c r="B261">
        <f>E260</f>
        <v>1.4545454545454546</v>
      </c>
      <c r="C261">
        <f>(Tabla137[[#This Row],[x(0)]]^3)-(Tabla137[[#This Row],[x(0)]])</f>
        <v>1.6228399699474081</v>
      </c>
      <c r="D261">
        <f>3*(Tabla137[[#This Row],[x(0)]]^2)-1</f>
        <v>5.3471074380165291</v>
      </c>
      <c r="E261">
        <f>Tabla137[[#This Row],[x(0)]]-(Tabla137[[#This Row],[f(xn)]]/Tabla137[[#This Row],[f`(xn)]])</f>
        <v>1.1510467893775467</v>
      </c>
      <c r="F261">
        <f>ABS((B260-Tabla137[[#This Row],[x(0)]])/Tabla137[[#This Row],[x(0)]])</f>
        <v>0.37499999999999994</v>
      </c>
    </row>
    <row r="262" spans="1:10" x14ac:dyDescent="0.3">
      <c r="A262">
        <v>3</v>
      </c>
      <c r="B262">
        <f t="shared" ref="B262:B266" si="61">E261</f>
        <v>1.1510467893775467</v>
      </c>
      <c r="C262">
        <f>(Tabla137[[#This Row],[x(0)]]^3)-(Tabla137[[#This Row],[x(0)]])</f>
        <v>0.37398512902451131</v>
      </c>
      <c r="D262">
        <f>3*(Tabla137[[#This Row],[x(0)]]^2)-1</f>
        <v>2.9747261340090745</v>
      </c>
      <c r="E262">
        <f>Tabla137[[#This Row],[x(0)]]-(Tabla137[[#This Row],[f(xn)]]/Tabla137[[#This Row],[f`(xn)]])</f>
        <v>1.0253259289766978</v>
      </c>
      <c r="F262">
        <f>ABS((B261-Tabla137[[#This Row],[x(0)]])/Tabla137[[#This Row],[x(0)]])</f>
        <v>0.26367187500000011</v>
      </c>
      <c r="I262" t="s">
        <v>64</v>
      </c>
      <c r="J262" t="s">
        <v>62</v>
      </c>
    </row>
    <row r="263" spans="1:10" x14ac:dyDescent="0.3">
      <c r="A263">
        <v>4</v>
      </c>
      <c r="B263">
        <f t="shared" si="61"/>
        <v>1.0253259289766978</v>
      </c>
      <c r="C263">
        <f>(Tabla137[[#This Row],[x(0)]]^3)-(Tabla137[[#This Row],[x(0)]])</f>
        <v>5.2592310107675733E-2</v>
      </c>
      <c r="D263">
        <f>3*(Tabla137[[#This Row],[x(0)]]^2)-1</f>
        <v>2.1538797818957849</v>
      </c>
      <c r="E263">
        <f>Tabla137[[#This Row],[x(0)]]-(Tabla137[[#This Row],[f(xn)]]/Tabla137[[#This Row],[f`(xn)]])</f>
        <v>1.0009084519430513</v>
      </c>
      <c r="F263">
        <f>ABS((B262-Tabla137[[#This Row],[x(0)]])/Tabla137[[#This Row],[x(0)]])</f>
        <v>0.12261550873518</v>
      </c>
    </row>
    <row r="264" spans="1:10" x14ac:dyDescent="0.3">
      <c r="A264">
        <v>5</v>
      </c>
      <c r="B264">
        <f t="shared" si="61"/>
        <v>1.0009084519430513</v>
      </c>
      <c r="C264">
        <f>(Tabla137[[#This Row],[x(0)]]^3)-(Tabla137[[#This Row],[x(0)]])</f>
        <v>1.8193804906327937E-3</v>
      </c>
      <c r="D264">
        <f>3*(Tabla137[[#This Row],[x(0)]]^2)-1</f>
        <v>2.0054531875131065</v>
      </c>
      <c r="E264">
        <f>Tabla137[[#This Row],[x(0)]]-(Tabla137[[#This Row],[f(xn)]]/Tabla137[[#This Row],[f`(xn)]])</f>
        <v>1.0000012353089454</v>
      </c>
      <c r="F264">
        <f>ABS((B263-Tabla137[[#This Row],[x(0)]])/Tabla137[[#This Row],[x(0)]])</f>
        <v>2.439531506227682E-2</v>
      </c>
    </row>
    <row r="265" spans="1:10" x14ac:dyDescent="0.3">
      <c r="A265">
        <v>6</v>
      </c>
      <c r="B265">
        <f t="shared" si="61"/>
        <v>1.0000012353089454</v>
      </c>
      <c r="C265">
        <f>(Tabla137[[#This Row],[x(0)]]^3)-(Tabla137[[#This Row],[x(0)]])</f>
        <v>2.4706224686088518E-6</v>
      </c>
      <c r="D265">
        <f>3*(Tabla137[[#This Row],[x(0)]]^2)-1</f>
        <v>2.0000074118582498</v>
      </c>
      <c r="E265">
        <f>Tabla137[[#This Row],[x(0)]]-(Tabla137[[#This Row],[f(xn)]]/Tabla137[[#This Row],[f`(xn)]])</f>
        <v>1.0000000000022891</v>
      </c>
      <c r="F265">
        <f>ABS((B264-Tabla137[[#This Row],[x(0)]])/Tabla137[[#This Row],[x(0)]])</f>
        <v>9.0721551341453935E-4</v>
      </c>
    </row>
    <row r="266" spans="1:10" x14ac:dyDescent="0.3">
      <c r="A266">
        <v>7</v>
      </c>
      <c r="B266">
        <f t="shared" si="61"/>
        <v>1.0000000000022891</v>
      </c>
      <c r="C266">
        <f>(Tabla137[[#This Row],[x(0)]]^3)-(Tabla137[[#This Row],[x(0)]])</f>
        <v>4.5781156643442955E-12</v>
      </c>
      <c r="D266">
        <f>3*(Tabla137[[#This Row],[x(0)]]^2)-1</f>
        <v>2.0000000000137343</v>
      </c>
      <c r="E266">
        <f>Tabla137[[#This Row],[x(0)]]-(Tabla137[[#This Row],[f(xn)]]/Tabla137[[#This Row],[f`(xn)]])</f>
        <v>1</v>
      </c>
      <c r="F266">
        <f>ABS((B265-Tabla137[[#This Row],[x(0)]])/Tabla137[[#This Row],[x(0)]])</f>
        <v>1.2353066562969563E-6</v>
      </c>
    </row>
    <row r="270" spans="1:10" x14ac:dyDescent="0.3">
      <c r="A270" t="s">
        <v>32</v>
      </c>
      <c r="B270" t="s">
        <v>60</v>
      </c>
      <c r="C270" t="s">
        <v>51</v>
      </c>
      <c r="D270" t="s">
        <v>52</v>
      </c>
      <c r="E270" t="s">
        <v>53</v>
      </c>
      <c r="F270" t="s">
        <v>26</v>
      </c>
      <c r="I270" s="7" t="s">
        <v>29</v>
      </c>
    </row>
    <row r="271" spans="1:10" x14ac:dyDescent="0.3">
      <c r="A271">
        <v>1</v>
      </c>
      <c r="B271">
        <v>2</v>
      </c>
      <c r="C271">
        <f>(Tabla1379[[#This Row],[x(0)]]^2)-2</f>
        <v>2</v>
      </c>
      <c r="D271">
        <f>2*(Tabla1379[[#This Row],[x(0)]])</f>
        <v>4</v>
      </c>
      <c r="E271">
        <f>Tabla1379[[#This Row],[x(0)]]-(Tabla1379[[#This Row],[f(xn)]]/Tabla1379[[#This Row],[f`(xn)]])</f>
        <v>1.5</v>
      </c>
      <c r="F271" t="e">
        <f>ABS((B270-Tabla1379[[#This Row],[x(0)]])/Tabla1379[[#This Row],[x(0)]])</f>
        <v>#VALUE!</v>
      </c>
    </row>
    <row r="272" spans="1:10" x14ac:dyDescent="0.3">
      <c r="A272">
        <v>2</v>
      </c>
      <c r="B272">
        <f>E271</f>
        <v>1.5</v>
      </c>
      <c r="C272">
        <f>(Tabla1379[[#This Row],[x(0)]]^2)-2</f>
        <v>0.25</v>
      </c>
      <c r="D272">
        <f>2*(Tabla1379[[#This Row],[x(0)]])</f>
        <v>3</v>
      </c>
      <c r="E272">
        <f>Tabla1379[[#This Row],[x(0)]]-(Tabla1379[[#This Row],[f(xn)]]/Tabla1379[[#This Row],[f`(xn)]])</f>
        <v>1.4166666666666667</v>
      </c>
      <c r="F272">
        <f>ABS((B271-Tabla1379[[#This Row],[x(0)]])/Tabla1379[[#This Row],[x(0)]])</f>
        <v>0.33333333333333331</v>
      </c>
    </row>
    <row r="273" spans="1:9" x14ac:dyDescent="0.3">
      <c r="A273">
        <v>3</v>
      </c>
      <c r="B273">
        <f t="shared" ref="B273:B277" si="62">E272</f>
        <v>1.4166666666666667</v>
      </c>
      <c r="C273">
        <f>(Tabla1379[[#This Row],[x(0)]]^2)-2</f>
        <v>6.9444444444446418E-3</v>
      </c>
      <c r="D273">
        <f>2*(Tabla1379[[#This Row],[x(0)]])</f>
        <v>2.8333333333333335</v>
      </c>
      <c r="E273">
        <f>Tabla1379[[#This Row],[x(0)]]-(Tabla1379[[#This Row],[f(xn)]]/Tabla1379[[#This Row],[f`(xn)]])</f>
        <v>1.4142156862745099</v>
      </c>
      <c r="F273">
        <f>ABS((B272-Tabla1379[[#This Row],[x(0)]])/Tabla1379[[#This Row],[x(0)]])</f>
        <v>5.882352941176465E-2</v>
      </c>
    </row>
    <row r="274" spans="1:9" x14ac:dyDescent="0.3">
      <c r="A274">
        <v>4</v>
      </c>
      <c r="B274">
        <f t="shared" si="62"/>
        <v>1.4142156862745099</v>
      </c>
      <c r="C274">
        <f>(Tabla1379[[#This Row],[x(0)]]^2)-2</f>
        <v>6.0073048828712672E-6</v>
      </c>
      <c r="D274">
        <f>2*(Tabla1379[[#This Row],[x(0)]])</f>
        <v>2.8284313725490198</v>
      </c>
      <c r="E274">
        <f>Tabla1379[[#This Row],[x(0)]]-(Tabla1379[[#This Row],[f(xn)]]/Tabla1379[[#This Row],[f`(xn)]])</f>
        <v>1.4142135623746899</v>
      </c>
      <c r="F274">
        <f>ABS((B273-Tabla1379[[#This Row],[x(0)]])/Tabla1379[[#This Row],[x(0)]])</f>
        <v>1.7331022530329228E-3</v>
      </c>
    </row>
    <row r="275" spans="1:9" x14ac:dyDescent="0.3">
      <c r="A275">
        <v>5</v>
      </c>
      <c r="B275">
        <f t="shared" si="62"/>
        <v>1.4142135623746899</v>
      </c>
      <c r="C275">
        <f>(Tabla1379[[#This Row],[x(0)]]^2)-2</f>
        <v>4.510614104447086E-12</v>
      </c>
      <c r="D275">
        <f>2*(Tabla1379[[#This Row],[x(0)]])</f>
        <v>2.8284271247493797</v>
      </c>
      <c r="E275">
        <f>Tabla1379[[#This Row],[x(0)]]-(Tabla1379[[#This Row],[f(xn)]]/Tabla1379[[#This Row],[f`(xn)]])</f>
        <v>1.4142135623730951</v>
      </c>
      <c r="F275">
        <f>ABS((B274-Tabla1379[[#This Row],[x(0)]])/Tabla1379[[#This Row],[x(0)]])</f>
        <v>1.5018239652930854E-6</v>
      </c>
    </row>
    <row r="276" spans="1:9" x14ac:dyDescent="0.3">
      <c r="A276">
        <v>6</v>
      </c>
      <c r="B276">
        <f t="shared" si="62"/>
        <v>1.4142135623730951</v>
      </c>
      <c r="C276">
        <f>(Tabla1379[[#This Row],[x(0)]]^2)-2</f>
        <v>0</v>
      </c>
      <c r="D276">
        <f>2*(Tabla1379[[#This Row],[x(0)]])</f>
        <v>2.8284271247461903</v>
      </c>
      <c r="E276">
        <f>Tabla1379[[#This Row],[x(0)]]-(Tabla1379[[#This Row],[f(xn)]]/Tabla1379[[#This Row],[f`(xn)]])</f>
        <v>1.4142135623730951</v>
      </c>
      <c r="F276">
        <f>ABS((B275-Tabla1379[[#This Row],[x(0)]])/Tabla1379[[#This Row],[x(0)]])</f>
        <v>1.1276404038266872E-12</v>
      </c>
    </row>
    <row r="277" spans="1:9" x14ac:dyDescent="0.3">
      <c r="A277">
        <v>7</v>
      </c>
      <c r="B277">
        <f t="shared" si="62"/>
        <v>1.4142135623730951</v>
      </c>
      <c r="C277">
        <f>(Tabla1379[[#This Row],[x(0)]]^2)-2</f>
        <v>0</v>
      </c>
      <c r="D277">
        <f>2*(Tabla1379[[#This Row],[x(0)]])</f>
        <v>2.8284271247461903</v>
      </c>
      <c r="E277">
        <f>Tabla1379[[#This Row],[x(0)]]-(Tabla1379[[#This Row],[f(xn)]]/Tabla1379[[#This Row],[f`(xn)]])</f>
        <v>1.4142135623730951</v>
      </c>
      <c r="F277">
        <f>ABS((B276-Tabla1379[[#This Row],[x(0)]])/Tabla1379[[#This Row],[x(0)]])</f>
        <v>0</v>
      </c>
    </row>
    <row r="279" spans="1:9" x14ac:dyDescent="0.3">
      <c r="I279" s="3" t="s">
        <v>30</v>
      </c>
    </row>
    <row r="280" spans="1:9" x14ac:dyDescent="0.3">
      <c r="A280" t="s">
        <v>32</v>
      </c>
      <c r="B280" t="s">
        <v>60</v>
      </c>
      <c r="C280" t="s">
        <v>51</v>
      </c>
      <c r="D280" t="s">
        <v>52</v>
      </c>
      <c r="E280" t="s">
        <v>53</v>
      </c>
      <c r="F280" t="s">
        <v>26</v>
      </c>
    </row>
    <row r="281" spans="1:9" x14ac:dyDescent="0.3">
      <c r="A281">
        <v>1</v>
      </c>
      <c r="B281">
        <v>1</v>
      </c>
      <c r="C281">
        <f>(Tabla13710[[#This Row],[x(0)]]^2)+(2*Tabla13710[[#This Row],[x(0)]])-8</f>
        <v>-5</v>
      </c>
      <c r="D281">
        <f>2*(Tabla13710[[#This Row],[x(0)]])+2</f>
        <v>4</v>
      </c>
      <c r="E281">
        <f>Tabla13710[[#This Row],[x(0)]]-(Tabla13710[[#This Row],[f(xn)]]/Tabla13710[[#This Row],[f`(xn)]])</f>
        <v>2.25</v>
      </c>
      <c r="F281" t="e">
        <f>ABS((B280-Tabla13710[[#This Row],[x(0)]])/Tabla13710[[#This Row],[x(0)]])</f>
        <v>#VALUE!</v>
      </c>
    </row>
    <row r="282" spans="1:9" x14ac:dyDescent="0.3">
      <c r="A282">
        <v>2</v>
      </c>
      <c r="B282">
        <f>E281</f>
        <v>2.25</v>
      </c>
      <c r="C282">
        <f>(Tabla13710[[#This Row],[x(0)]]^2)+(2*Tabla13710[[#This Row],[x(0)]])-8</f>
        <v>1.5625</v>
      </c>
      <c r="D282">
        <f>2*(Tabla13710[[#This Row],[x(0)]])+2</f>
        <v>6.5</v>
      </c>
      <c r="E282">
        <f>Tabla13710[[#This Row],[x(0)]]-(Tabla13710[[#This Row],[f(xn)]]/Tabla13710[[#This Row],[f`(xn)]])</f>
        <v>2.0096153846153846</v>
      </c>
      <c r="F282">
        <f>ABS((B281-Tabla13710[[#This Row],[x(0)]])/Tabla13710[[#This Row],[x(0)]])</f>
        <v>0.55555555555555558</v>
      </c>
      <c r="I282" t="s">
        <v>65</v>
      </c>
    </row>
    <row r="283" spans="1:9" x14ac:dyDescent="0.3">
      <c r="A283">
        <v>3</v>
      </c>
      <c r="B283">
        <f t="shared" ref="B283:B287" si="63">E282</f>
        <v>2.0096153846153846</v>
      </c>
      <c r="C283">
        <f>(Tabla13710[[#This Row],[x(0)]]^2)+(2*Tabla13710[[#This Row],[x(0)]])-8</f>
        <v>5.7784763313609488E-2</v>
      </c>
      <c r="D283">
        <f>2*(Tabla13710[[#This Row],[x(0)]])+2</f>
        <v>6.0192307692307692</v>
      </c>
      <c r="E283">
        <f>Tabla13710[[#This Row],[x(0)]]-(Tabla13710[[#This Row],[f(xn)]]/Tabla13710[[#This Row],[f`(xn)]])</f>
        <v>2.0000153600393218</v>
      </c>
      <c r="F283">
        <f>ABS((B282-Tabla13710[[#This Row],[x(0)]])/Tabla13710[[#This Row],[x(0)]])</f>
        <v>0.11961722488038279</v>
      </c>
    </row>
    <row r="284" spans="1:9" x14ac:dyDescent="0.3">
      <c r="A284">
        <v>4</v>
      </c>
      <c r="B284">
        <f t="shared" si="63"/>
        <v>2.0000153600393218</v>
      </c>
      <c r="C284">
        <f>(Tabla13710[[#This Row],[x(0)]]^2)+(2*Tabla13710[[#This Row],[x(0)]])-8</f>
        <v>9.2160471862001714E-5</v>
      </c>
      <c r="D284">
        <f>2*(Tabla13710[[#This Row],[x(0)]])+2</f>
        <v>6.0000307200786436</v>
      </c>
      <c r="E284">
        <f>Tabla13710[[#This Row],[x(0)]]-(Tabla13710[[#This Row],[f(xn)]]/Tabla13710[[#This Row],[f`(xn)]])</f>
        <v>2.0000000000393214</v>
      </c>
      <c r="F284">
        <f>ABS((B283-Tabla13710[[#This Row],[x(0)]])/Tabla13710[[#This Row],[x(0)]])</f>
        <v>4.7999754241257672E-3</v>
      </c>
    </row>
    <row r="285" spans="1:9" x14ac:dyDescent="0.3">
      <c r="A285">
        <v>5</v>
      </c>
      <c r="B285">
        <f t="shared" si="63"/>
        <v>2.0000000000393214</v>
      </c>
      <c r="C285">
        <f>(Tabla13710[[#This Row],[x(0)]]^2)+(2*Tabla13710[[#This Row],[x(0)]])-8</f>
        <v>2.3592860998178367E-10</v>
      </c>
      <c r="D285">
        <f>2*(Tabla13710[[#This Row],[x(0)]])+2</f>
        <v>6.0000000000786429</v>
      </c>
      <c r="E285">
        <f>Tabla13710[[#This Row],[x(0)]]-(Tabla13710[[#This Row],[f(xn)]]/Tabla13710[[#This Row],[f`(xn)]])</f>
        <v>2</v>
      </c>
      <c r="F285">
        <f>ABS((B284-Tabla13710[[#This Row],[x(0)]])/Tabla13710[[#This Row],[x(0)]])</f>
        <v>7.6800000000254408E-6</v>
      </c>
    </row>
    <row r="286" spans="1:9" x14ac:dyDescent="0.3">
      <c r="A286">
        <v>6</v>
      </c>
      <c r="B286">
        <f t="shared" si="63"/>
        <v>2</v>
      </c>
      <c r="C286">
        <f>(Tabla13710[[#This Row],[x(0)]]^2)+(2*Tabla13710[[#This Row],[x(0)]])-8</f>
        <v>0</v>
      </c>
      <c r="D286">
        <f>2*(Tabla13710[[#This Row],[x(0)]])+2</f>
        <v>6</v>
      </c>
      <c r="E286">
        <f>Tabla13710[[#This Row],[x(0)]]-(Tabla13710[[#This Row],[f(xn)]]/Tabla13710[[#This Row],[f`(xn)]])</f>
        <v>2</v>
      </c>
      <c r="F286">
        <f>ABS((B285-Tabla13710[[#This Row],[x(0)]])/Tabla13710[[#This Row],[x(0)]])</f>
        <v>1.9660717498481972E-11</v>
      </c>
    </row>
    <row r="287" spans="1:9" x14ac:dyDescent="0.3">
      <c r="A287">
        <v>7</v>
      </c>
      <c r="B287">
        <f t="shared" si="63"/>
        <v>2</v>
      </c>
      <c r="C287">
        <f>(Tabla13710[[#This Row],[x(0)]]^2)+(2*Tabla13710[[#This Row],[x(0)]])-8</f>
        <v>0</v>
      </c>
      <c r="D287">
        <f>2*(Tabla13710[[#This Row],[x(0)]])+2</f>
        <v>6</v>
      </c>
      <c r="E287">
        <f>Tabla13710[[#This Row],[x(0)]]-(Tabla13710[[#This Row],[f(xn)]]/Tabla13710[[#This Row],[f`(xn)]])</f>
        <v>2</v>
      </c>
      <c r="F287">
        <f>ABS((B286-Tabla13710[[#This Row],[x(0)]])/Tabla13710[[#This Row],[x(0)]])</f>
        <v>0</v>
      </c>
    </row>
    <row r="290" spans="1:10" x14ac:dyDescent="0.3">
      <c r="A290" s="1" t="s">
        <v>66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t="s">
        <v>67</v>
      </c>
      <c r="B300" t="s">
        <v>68</v>
      </c>
      <c r="C300" t="s">
        <v>69</v>
      </c>
      <c r="D300" t="s">
        <v>70</v>
      </c>
      <c r="E300" t="s">
        <v>22</v>
      </c>
      <c r="F300" t="s">
        <v>71</v>
      </c>
      <c r="G300" t="s">
        <v>72</v>
      </c>
      <c r="H300" t="s">
        <v>73</v>
      </c>
    </row>
    <row r="301" spans="1:10" x14ac:dyDescent="0.3">
      <c r="A301">
        <v>1</v>
      </c>
      <c r="B301">
        <v>1</v>
      </c>
      <c r="C301">
        <v>3</v>
      </c>
      <c r="D301">
        <f>(Tabla319[[#This Row],[xi-1]]^2)-(2*Tabla319[[#This Row],[xi-1]])</f>
        <v>-1</v>
      </c>
      <c r="E301">
        <f>(Tabla319[[#This Row],[xi]]^2)-(2*Tabla319[[#This Row],[xi]])</f>
        <v>3</v>
      </c>
      <c r="F301">
        <f>C301-(E301*(C301-B301)/(E301-D301))</f>
        <v>1.5</v>
      </c>
      <c r="G301" t="e">
        <f>ABS((B300-Tabla319[[#This Row],[xi-1]])/Tabla319[[#This Row],[xi-1]])</f>
        <v>#VALUE!</v>
      </c>
    </row>
    <row r="302" spans="1:10" x14ac:dyDescent="0.3">
      <c r="A302">
        <v>2</v>
      </c>
      <c r="B302">
        <f>C301</f>
        <v>3</v>
      </c>
      <c r="C302">
        <f>F301</f>
        <v>1.5</v>
      </c>
      <c r="D302">
        <f>(Tabla319[[#This Row],[xi-1]]^2)-(2*Tabla319[[#This Row],[xi-1]])</f>
        <v>3</v>
      </c>
      <c r="E302">
        <f>(Tabla319[[#This Row],[xi]]^2)-(2*Tabla319[[#This Row],[xi]])</f>
        <v>-0.75</v>
      </c>
      <c r="F302">
        <f t="shared" ref="F302:F309" si="64">C302-(E302*(C302-B302)/(E302-D302))</f>
        <v>1.8</v>
      </c>
      <c r="G302">
        <f>ABS((B301-Tabla319[[#This Row],[xi-1]])/Tabla319[[#This Row],[xi-1]])</f>
        <v>0.66666666666666663</v>
      </c>
    </row>
    <row r="303" spans="1:10" x14ac:dyDescent="0.3">
      <c r="A303">
        <v>3</v>
      </c>
      <c r="B303">
        <f>C302</f>
        <v>1.5</v>
      </c>
      <c r="C303">
        <f>F302</f>
        <v>1.8</v>
      </c>
      <c r="D303">
        <f>(Tabla319[[#This Row],[xi-1]]^2)-(2*Tabla319[[#This Row],[xi-1]])</f>
        <v>-0.75</v>
      </c>
      <c r="E303">
        <f>(Tabla319[[#This Row],[xi]]^2)-(2*Tabla319[[#This Row],[xi]])</f>
        <v>-0.35999999999999988</v>
      </c>
      <c r="F303">
        <f t="shared" si="64"/>
        <v>2.0769230769230766</v>
      </c>
      <c r="G303">
        <f>ABS((B302-Tabla319[[#This Row],[xi-1]])/Tabla319[[#This Row],[xi-1]])</f>
        <v>1</v>
      </c>
    </row>
    <row r="304" spans="1:10" x14ac:dyDescent="0.3">
      <c r="A304">
        <v>4</v>
      </c>
      <c r="B304">
        <f t="shared" ref="B304:B309" si="65">C303</f>
        <v>1.8</v>
      </c>
      <c r="C304">
        <f t="shared" ref="C304:C309" si="66">F303</f>
        <v>2.0769230769230766</v>
      </c>
      <c r="D304">
        <f>(Tabla319[[#This Row],[xi-1]]^2)-(2*Tabla319[[#This Row],[xi-1]])</f>
        <v>-0.35999999999999988</v>
      </c>
      <c r="E304">
        <f>(Tabla319[[#This Row],[xi]]^2)-(2*Tabla319[[#This Row],[xi]])</f>
        <v>0.15976331360946716</v>
      </c>
      <c r="F304">
        <f t="shared" si="64"/>
        <v>1.9918032786885245</v>
      </c>
      <c r="G304">
        <f>ABS((B303-Tabla319[[#This Row],[xi-1]])/Tabla319[[#This Row],[xi-1]])</f>
        <v>0.16666666666666669</v>
      </c>
    </row>
    <row r="305" spans="1:11" x14ac:dyDescent="0.3">
      <c r="A305">
        <v>5</v>
      </c>
      <c r="B305">
        <f t="shared" si="65"/>
        <v>2.0769230769230766</v>
      </c>
      <c r="C305">
        <f t="shared" si="66"/>
        <v>1.9918032786885245</v>
      </c>
      <c r="D305">
        <f>(Tabla319[[#This Row],[xi-1]]^2)-(2*Tabla319[[#This Row],[xi-1]])</f>
        <v>0.15976331360946716</v>
      </c>
      <c r="E305">
        <f>(Tabla319[[#This Row],[xi]]^2)-(2*Tabla319[[#This Row],[xi]])</f>
        <v>-1.6326256382693138E-2</v>
      </c>
      <c r="F305">
        <f t="shared" si="64"/>
        <v>1.9996952148735141</v>
      </c>
      <c r="G305">
        <f>ABS((B304-Tabla319[[#This Row],[xi-1]])/Tabla319[[#This Row],[xi-1]])</f>
        <v>0.13333333333333319</v>
      </c>
    </row>
    <row r="306" spans="1:11" x14ac:dyDescent="0.3">
      <c r="A306">
        <v>6</v>
      </c>
      <c r="B306">
        <f t="shared" si="65"/>
        <v>1.9918032786885245</v>
      </c>
      <c r="C306">
        <f t="shared" si="66"/>
        <v>1.9996952148735141</v>
      </c>
      <c r="D306">
        <f>(Tabla319[[#This Row],[xi-1]]^2)-(2*Tabla319[[#This Row],[xi-1]])</f>
        <v>-1.6326256382693138E-2</v>
      </c>
      <c r="E306">
        <f>(Tabla319[[#This Row],[xi]]^2)-(2*Tabla319[[#This Row],[xi]])</f>
        <v>-6.0947735899841149E-4</v>
      </c>
      <c r="F306">
        <f t="shared" si="64"/>
        <v>2.0000012544517354</v>
      </c>
      <c r="G306">
        <f>ABS((B305-Tabla319[[#This Row],[xi-1]])/Tabla319[[#This Row],[xi-1]])</f>
        <v>4.273504273504266E-2</v>
      </c>
    </row>
    <row r="307" spans="1:11" x14ac:dyDescent="0.3">
      <c r="A307">
        <v>7</v>
      </c>
      <c r="B307">
        <f t="shared" si="65"/>
        <v>1.9996952148735141</v>
      </c>
      <c r="C307">
        <f t="shared" si="66"/>
        <v>2.0000012544517354</v>
      </c>
      <c r="D307">
        <f>(Tabla319[[#This Row],[xi-1]]^2)-(2*Tabla319[[#This Row],[xi-1]])</f>
        <v>-6.0947735899841149E-4</v>
      </c>
      <c r="E307">
        <f>(Tabla319[[#This Row],[xi]]^2)-(2*Tabla319[[#This Row],[xi]])</f>
        <v>2.5089050446069905E-6</v>
      </c>
      <c r="F307">
        <f t="shared" si="64"/>
        <v>1.9999999998088018</v>
      </c>
      <c r="G307">
        <f>ABS((B306-Tabla319[[#This Row],[xi-1]])/Tabla319[[#This Row],[xi-1]])</f>
        <v>3.9465695203400328E-3</v>
      </c>
    </row>
    <row r="308" spans="1:11" x14ac:dyDescent="0.3">
      <c r="A308">
        <v>8</v>
      </c>
      <c r="B308">
        <f t="shared" si="65"/>
        <v>2.0000012544517354</v>
      </c>
      <c r="C308">
        <f t="shared" si="66"/>
        <v>1.9999999998088018</v>
      </c>
      <c r="D308">
        <f>(Tabla319[[#This Row],[xi-1]]^2)-(2*Tabla319[[#This Row],[xi-1]])</f>
        <v>2.5089050446069905E-6</v>
      </c>
      <c r="E308">
        <f>(Tabla319[[#This Row],[xi]]^2)-(2*Tabla319[[#This Row],[xi]])</f>
        <v>-3.8239633681769192E-10</v>
      </c>
      <c r="F308">
        <f t="shared" si="64"/>
        <v>1.9999999999999998</v>
      </c>
      <c r="G308">
        <f>ABS((B307-Tabla319[[#This Row],[xi-1]])/Tabla319[[#This Row],[xi-1]])</f>
        <v>1.5301969313273237E-4</v>
      </c>
    </row>
    <row r="309" spans="1:11" x14ac:dyDescent="0.3">
      <c r="A309">
        <v>9</v>
      </c>
      <c r="B309">
        <f t="shared" si="65"/>
        <v>1.9999999998088018</v>
      </c>
      <c r="C309">
        <f t="shared" si="66"/>
        <v>1.9999999999999998</v>
      </c>
      <c r="D309">
        <f>(Tabla319[[#This Row],[xi-1]]^2)-(2*Tabla319[[#This Row],[xi-1]])</f>
        <v>-3.8239633681769192E-10</v>
      </c>
      <c r="E309">
        <f>(Tabla319[[#This Row],[xi]]^2)-(2*Tabla319[[#This Row],[xi]])</f>
        <v>0</v>
      </c>
      <c r="F309">
        <f t="shared" si="64"/>
        <v>1.9999999999999998</v>
      </c>
      <c r="G309">
        <f>ABS((B308-Tabla319[[#This Row],[xi-1]])/Tabla319[[#This Row],[xi-1]])</f>
        <v>6.2732146683288343E-7</v>
      </c>
    </row>
    <row r="311" spans="1:11" x14ac:dyDescent="0.3">
      <c r="F311" t="s">
        <v>68</v>
      </c>
      <c r="G311" t="s">
        <v>14</v>
      </c>
      <c r="H311" t="s">
        <v>74</v>
      </c>
      <c r="I311" s="8" t="s">
        <v>75</v>
      </c>
    </row>
    <row r="312" spans="1:11" x14ac:dyDescent="0.3">
      <c r="I312" s="9" t="s">
        <v>76</v>
      </c>
    </row>
    <row r="316" spans="1:11" x14ac:dyDescent="0.3">
      <c r="K316" t="s">
        <v>77</v>
      </c>
    </row>
    <row r="317" spans="1:11" x14ac:dyDescent="0.3">
      <c r="A317" t="s">
        <v>78</v>
      </c>
    </row>
    <row r="318" spans="1:11" x14ac:dyDescent="0.3">
      <c r="A318" t="s">
        <v>32</v>
      </c>
      <c r="B318" t="s">
        <v>68</v>
      </c>
      <c r="C318" t="s">
        <v>69</v>
      </c>
      <c r="D318" t="s">
        <v>70</v>
      </c>
      <c r="E318" t="s">
        <v>22</v>
      </c>
      <c r="F318" t="s">
        <v>79</v>
      </c>
      <c r="G318" t="s">
        <v>26</v>
      </c>
      <c r="I318" t="s">
        <v>80</v>
      </c>
      <c r="J318" t="s">
        <v>81</v>
      </c>
    </row>
    <row r="319" spans="1:11" x14ac:dyDescent="0.3">
      <c r="A319">
        <v>1</v>
      </c>
      <c r="B319">
        <v>-0.5</v>
      </c>
      <c r="C319">
        <v>-1.5</v>
      </c>
      <c r="D319">
        <f>(Tabla420[[#This Row],[xi-1]]^2)+Tabla420[[#This Row],[xi-1]]</f>
        <v>-0.25</v>
      </c>
      <c r="E319">
        <f>(Tabla420[[#This Row],[xi]]^2)+Tabla420[[#This Row],[xi]]</f>
        <v>0.75</v>
      </c>
      <c r="F319">
        <f>C319-(E319*(C319-B319)/(E319-D319))</f>
        <v>-0.75</v>
      </c>
      <c r="G319" t="e">
        <f>ABS((Tabla420[[#This Row],[xi-1]]-B318)/Tabla420[[#This Row],[xi-1]])</f>
        <v>#VALUE!</v>
      </c>
    </row>
    <row r="320" spans="1:11" x14ac:dyDescent="0.3">
      <c r="A320">
        <v>2</v>
      </c>
      <c r="B320">
        <f>C319</f>
        <v>-1.5</v>
      </c>
      <c r="C320">
        <f>F319</f>
        <v>-0.75</v>
      </c>
      <c r="D320">
        <f>(Tabla420[[#This Row],[xi-1]]^2)+Tabla420[[#This Row],[xi-1]]</f>
        <v>0.75</v>
      </c>
      <c r="E320">
        <f>(Tabla420[[#This Row],[xi]]^2)+Tabla420[[#This Row],[xi]]</f>
        <v>-0.1875</v>
      </c>
      <c r="F320">
        <f t="shared" ref="F320:F325" si="67">C320-(E320*(C320-B320)/(E320-D320))</f>
        <v>-0.9</v>
      </c>
      <c r="G320">
        <f>ABS((Tabla420[[#This Row],[xi-1]]-B319)/Tabla420[[#This Row],[xi-1]])</f>
        <v>0.66666666666666663</v>
      </c>
    </row>
    <row r="321" spans="1:9" x14ac:dyDescent="0.3">
      <c r="A321">
        <v>3</v>
      </c>
      <c r="B321">
        <f t="shared" ref="B321:B325" si="68">C320</f>
        <v>-0.75</v>
      </c>
      <c r="C321">
        <f t="shared" ref="C321:C325" si="69">F320</f>
        <v>-0.9</v>
      </c>
      <c r="D321">
        <f>(Tabla420[[#This Row],[xi-1]]^2)+Tabla420[[#This Row],[xi-1]]</f>
        <v>-0.1875</v>
      </c>
      <c r="E321">
        <f>(Tabla420[[#This Row],[xi]]^2)+Tabla420[[#This Row],[xi]]</f>
        <v>-8.9999999999999969E-2</v>
      </c>
      <c r="F321">
        <f t="shared" si="67"/>
        <v>-1.0384615384615383</v>
      </c>
      <c r="G321">
        <f>ABS((Tabla420[[#This Row],[xi-1]]-B320)/Tabla420[[#This Row],[xi-1]])</f>
        <v>1</v>
      </c>
    </row>
    <row r="322" spans="1:9" x14ac:dyDescent="0.3">
      <c r="A322">
        <v>4</v>
      </c>
      <c r="B322">
        <f t="shared" si="68"/>
        <v>-0.9</v>
      </c>
      <c r="C322">
        <f t="shared" si="69"/>
        <v>-1.0384615384615383</v>
      </c>
      <c r="D322">
        <f>(Tabla420[[#This Row],[xi-1]]^2)+Tabla420[[#This Row],[xi-1]]</f>
        <v>-8.9999999999999969E-2</v>
      </c>
      <c r="E322">
        <f>(Tabla420[[#This Row],[xi]]^2)+Tabla420[[#This Row],[xi]]</f>
        <v>3.994082840236679E-2</v>
      </c>
      <c r="F322">
        <f t="shared" si="67"/>
        <v>-0.99590163934426224</v>
      </c>
      <c r="G322">
        <f>ABS((Tabla420[[#This Row],[xi-1]]-B321)/Tabla420[[#This Row],[xi-1]])</f>
        <v>0.16666666666666669</v>
      </c>
    </row>
    <row r="323" spans="1:9" x14ac:dyDescent="0.3">
      <c r="A323">
        <v>5</v>
      </c>
      <c r="B323">
        <f t="shared" si="68"/>
        <v>-1.0384615384615383</v>
      </c>
      <c r="C323">
        <f t="shared" si="69"/>
        <v>-0.99590163934426224</v>
      </c>
      <c r="D323">
        <f>(Tabla420[[#This Row],[xi-1]]^2)+Tabla420[[#This Row],[xi-1]]</f>
        <v>3.994082840236679E-2</v>
      </c>
      <c r="E323">
        <f>(Tabla420[[#This Row],[xi]]^2)+Tabla420[[#This Row],[xi]]</f>
        <v>-4.0815640956732846E-3</v>
      </c>
      <c r="F323">
        <f>C323-(E323*(C323-B323)/(E323-D323))</f>
        <v>-0.99984760743675705</v>
      </c>
      <c r="G323">
        <f>ABS((Tabla420[[#This Row],[xi-1]]-B322)/Tabla420[[#This Row],[xi-1]])</f>
        <v>0.13333333333333319</v>
      </c>
    </row>
    <row r="324" spans="1:9" x14ac:dyDescent="0.3">
      <c r="A324">
        <v>6</v>
      </c>
      <c r="B324">
        <f t="shared" si="68"/>
        <v>-0.99590163934426224</v>
      </c>
      <c r="C324">
        <f t="shared" si="69"/>
        <v>-0.99984760743675705</v>
      </c>
      <c r="D324">
        <f>(Tabla420[[#This Row],[xi-1]]^2)+Tabla420[[#This Row],[xi-1]]</f>
        <v>-4.0815640956732846E-3</v>
      </c>
      <c r="E324">
        <f>(Tabla420[[#This Row],[xi]]^2)+Tabla420[[#This Row],[xi]]</f>
        <v>-1.5236933974960287E-4</v>
      </c>
      <c r="F324">
        <f t="shared" si="67"/>
        <v>-1.0000006272258677</v>
      </c>
      <c r="G324">
        <f>ABS((Tabla420[[#This Row],[xi-1]]-B323)/Tabla420[[#This Row],[xi-1]])</f>
        <v>4.273504273504266E-2</v>
      </c>
    </row>
    <row r="325" spans="1:9" x14ac:dyDescent="0.3">
      <c r="A325">
        <v>7</v>
      </c>
      <c r="B325">
        <f t="shared" si="68"/>
        <v>-0.99984760743675705</v>
      </c>
      <c r="C325">
        <f t="shared" si="69"/>
        <v>-1.0000006272258677</v>
      </c>
      <c r="D325">
        <f>(Tabla420[[#This Row],[xi-1]]^2)+Tabla420[[#This Row],[xi-1]]</f>
        <v>-1.5236933974960287E-4</v>
      </c>
      <c r="E325">
        <f>(Tabla420[[#This Row],[xi]]^2)+Tabla420[[#This Row],[xi]]</f>
        <v>6.2722626115174762E-7</v>
      </c>
      <c r="F325">
        <f t="shared" si="67"/>
        <v>-0.99999999990440092</v>
      </c>
      <c r="G325">
        <f>ABS((Tabla420[[#This Row],[xi-1]]-B324)/Tabla420[[#This Row],[xi-1]])</f>
        <v>3.9465695203400328E-3</v>
      </c>
    </row>
    <row r="329" spans="1:9" x14ac:dyDescent="0.3">
      <c r="I329" s="3" t="s">
        <v>28</v>
      </c>
    </row>
    <row r="330" spans="1:9" x14ac:dyDescent="0.3">
      <c r="A330" t="s">
        <v>32</v>
      </c>
      <c r="B330" t="s">
        <v>68</v>
      </c>
      <c r="C330" t="s">
        <v>69</v>
      </c>
      <c r="D330" t="s">
        <v>70</v>
      </c>
      <c r="E330" t="s">
        <v>22</v>
      </c>
      <c r="F330" t="s">
        <v>79</v>
      </c>
      <c r="G330" t="s">
        <v>26</v>
      </c>
    </row>
    <row r="331" spans="1:9" x14ac:dyDescent="0.3">
      <c r="A331">
        <v>1</v>
      </c>
      <c r="B331">
        <v>3</v>
      </c>
      <c r="C331">
        <v>4</v>
      </c>
      <c r="D331">
        <f>(Tabla4621[[#This Row],[xi-1]]^3)-Tabla4621[[#This Row],[xi-1]]-1</f>
        <v>23</v>
      </c>
      <c r="E331">
        <f>(Tabla4621[[#This Row],[xi]]^3)-Tabla4621[[#This Row],[xi]]-1</f>
        <v>59</v>
      </c>
      <c r="F331">
        <f>C331-(E331*(C331-B331)/(E331-D331))</f>
        <v>2.3611111111111112</v>
      </c>
      <c r="G331" t="e">
        <f>ABS((Tabla4621[[#This Row],[xi-1]]-B330)/Tabla4621[[#This Row],[xi-1]])</f>
        <v>#VALUE!</v>
      </c>
    </row>
    <row r="332" spans="1:9" x14ac:dyDescent="0.3">
      <c r="A332">
        <v>2</v>
      </c>
      <c r="B332">
        <f>C331</f>
        <v>4</v>
      </c>
      <c r="C332">
        <f>F331</f>
        <v>2.3611111111111112</v>
      </c>
      <c r="D332">
        <f>(Tabla4621[[#This Row],[xi-1]]^3)-Tabla4621[[#This Row],[xi-1]]-1</f>
        <v>59</v>
      </c>
      <c r="E332">
        <f>(Tabla4621[[#This Row],[xi]]^3)-Tabla4621[[#This Row],[xi]]-1</f>
        <v>9.8017189643347056</v>
      </c>
      <c r="F332">
        <f t="shared" ref="F332:F337" si="70">C332-(E332*(C332-B332)/(E332-D332))</f>
        <v>2.034597095489012</v>
      </c>
      <c r="G332">
        <f>ABS((Tabla4621[[#This Row],[xi-1]]-B331)/Tabla4621[[#This Row],[xi-1]])</f>
        <v>0.25</v>
      </c>
    </row>
    <row r="333" spans="1:9" x14ac:dyDescent="0.3">
      <c r="A333">
        <v>3</v>
      </c>
      <c r="B333">
        <f t="shared" ref="B333:B337" si="71">C332</f>
        <v>2.3611111111111112</v>
      </c>
      <c r="C333">
        <f t="shared" ref="C333:C337" si="72">F332</f>
        <v>2.034597095489012</v>
      </c>
      <c r="D333">
        <f>(Tabla4621[[#This Row],[xi-1]]^3)-Tabla4621[[#This Row],[xi-1]]-1</f>
        <v>9.8017189643347056</v>
      </c>
      <c r="E333">
        <f>(Tabla4621[[#This Row],[xi]]^3)-Tabla4621[[#This Row],[xi]]-1</f>
        <v>5.387791215782169</v>
      </c>
      <c r="F333">
        <f t="shared" si="70"/>
        <v>1.6360429175744777</v>
      </c>
      <c r="G333">
        <f>ABS((Tabla4621[[#This Row],[xi-1]]-B332)/Tabla4621[[#This Row],[xi-1]])</f>
        <v>0.69411764705882351</v>
      </c>
    </row>
    <row r="334" spans="1:9" x14ac:dyDescent="0.3">
      <c r="A334">
        <v>4</v>
      </c>
      <c r="B334">
        <f t="shared" si="71"/>
        <v>2.034597095489012</v>
      </c>
      <c r="C334">
        <f t="shared" si="72"/>
        <v>1.6360429175744777</v>
      </c>
      <c r="D334">
        <f>(Tabla4621[[#This Row],[xi-1]]^3)-Tabla4621[[#This Row],[xi-1]]-1</f>
        <v>5.387791215782169</v>
      </c>
      <c r="E334">
        <f>(Tabla4621[[#This Row],[xi]]^3)-Tabla4621[[#This Row],[xi]]-1</f>
        <v>1.7430491536149946</v>
      </c>
      <c r="F334">
        <f t="shared" si="70"/>
        <v>1.4454397114670534</v>
      </c>
      <c r="G334">
        <f>ABS((Tabla4621[[#This Row],[xi-1]]-B333)/Tabla4621[[#This Row],[xi-1]])</f>
        <v>0.16048092093811922</v>
      </c>
    </row>
    <row r="335" spans="1:9" x14ac:dyDescent="0.3">
      <c r="A335">
        <v>5</v>
      </c>
      <c r="B335">
        <f t="shared" si="71"/>
        <v>1.6360429175744777</v>
      </c>
      <c r="C335">
        <f t="shared" si="72"/>
        <v>1.4454397114670534</v>
      </c>
      <c r="D335">
        <f>(Tabla4621[[#This Row],[xi-1]]^3)-Tabla4621[[#This Row],[xi-1]]-1</f>
        <v>1.7430491536149946</v>
      </c>
      <c r="E335">
        <f>(Tabla4621[[#This Row],[xi]]^3)-Tabla4621[[#This Row],[xi]]-1</f>
        <v>0.57451163738161104</v>
      </c>
      <c r="F335">
        <f>C335-(E335*(C335-B335)/(E335-D335))</f>
        <v>1.3517296178588216</v>
      </c>
      <c r="G335">
        <f>ABS((Tabla4621[[#This Row],[xi-1]]-B334)/Tabla4621[[#This Row],[xi-1]])</f>
        <v>0.2436086325323375</v>
      </c>
    </row>
    <row r="336" spans="1:9" x14ac:dyDescent="0.3">
      <c r="A336">
        <v>6</v>
      </c>
      <c r="B336">
        <f t="shared" si="71"/>
        <v>1.4454397114670534</v>
      </c>
      <c r="C336">
        <f t="shared" si="72"/>
        <v>1.3517296178588216</v>
      </c>
      <c r="D336">
        <f>(Tabla4621[[#This Row],[xi-1]]^3)-Tabla4621[[#This Row],[xi-1]]-1</f>
        <v>0.57451163738161104</v>
      </c>
      <c r="E336">
        <f>(Tabla4621[[#This Row],[xi]]^3)-Tabla4621[[#This Row],[xi]]-1</f>
        <v>0.1181141888492192</v>
      </c>
      <c r="F336">
        <f t="shared" ref="F336:F337" si="73">C336-(E336*(C336-B336)/(E336-D336))</f>
        <v>1.3274777476323054</v>
      </c>
      <c r="G336">
        <f>ABS((Tabla4621[[#This Row],[xi-1]]-B335)/Tabla4621[[#This Row],[xi-1]])</f>
        <v>0.13186520654948036</v>
      </c>
    </row>
    <row r="337" spans="1:9" x14ac:dyDescent="0.3">
      <c r="A337">
        <v>7</v>
      </c>
      <c r="B337">
        <f t="shared" si="71"/>
        <v>1.3517296178588216</v>
      </c>
      <c r="C337">
        <f t="shared" si="72"/>
        <v>1.3274777476323054</v>
      </c>
      <c r="D337">
        <f>(Tabla4621[[#This Row],[xi-1]]^3)-Tabla4621[[#This Row],[xi-1]]-1</f>
        <v>0.1181141888492192</v>
      </c>
      <c r="E337">
        <f>(Tabla4621[[#This Row],[xi]]^3)-Tabla4621[[#This Row],[xi]]-1</f>
        <v>1.1799783092548477E-2</v>
      </c>
      <c r="F337">
        <f t="shared" si="73"/>
        <v>1.3247860446008601</v>
      </c>
      <c r="G337">
        <f>ABS((Tabla4621[[#This Row],[xi-1]]-B336)/Tabla4621[[#This Row],[xi-1]])</f>
        <v>6.9326063711373925E-2</v>
      </c>
    </row>
    <row r="340" spans="1:9" x14ac:dyDescent="0.3">
      <c r="I340" s="7" t="s">
        <v>29</v>
      </c>
    </row>
    <row r="342" spans="1:9" x14ac:dyDescent="0.3">
      <c r="A342" t="s">
        <v>32</v>
      </c>
      <c r="B342" t="s">
        <v>68</v>
      </c>
      <c r="C342" t="s">
        <v>69</v>
      </c>
      <c r="D342" t="s">
        <v>70</v>
      </c>
      <c r="E342" t="s">
        <v>22</v>
      </c>
      <c r="F342" t="s">
        <v>79</v>
      </c>
      <c r="G342" t="s">
        <v>26</v>
      </c>
    </row>
    <row r="343" spans="1:9" x14ac:dyDescent="0.3">
      <c r="A343">
        <v>1</v>
      </c>
      <c r="B343">
        <v>1</v>
      </c>
      <c r="C343">
        <v>2</v>
      </c>
      <c r="D343">
        <f>(Tabla468[[#This Row],[xi-1]]^2)-2</f>
        <v>-1</v>
      </c>
      <c r="E343">
        <f>(Tabla468[[#This Row],[xi]]^2)-2</f>
        <v>2</v>
      </c>
      <c r="F343">
        <f>C343-(E343*(C343-B343)/(E343-D343))</f>
        <v>1.3333333333333335</v>
      </c>
      <c r="G343" t="e">
        <f>ABS((Tabla468[[#This Row],[xi-1]]-B342)/Tabla468[[#This Row],[xi-1]])</f>
        <v>#VALUE!</v>
      </c>
    </row>
    <row r="344" spans="1:9" x14ac:dyDescent="0.3">
      <c r="A344">
        <v>2</v>
      </c>
      <c r="B344">
        <f>C343</f>
        <v>2</v>
      </c>
      <c r="C344">
        <f>F343</f>
        <v>1.3333333333333335</v>
      </c>
      <c r="D344">
        <f>(Tabla468[[#This Row],[xi-1]]^2)-2</f>
        <v>2</v>
      </c>
      <c r="E344">
        <f>(Tabla468[[#This Row],[xi]]^2)-2</f>
        <v>-0.22222222222222188</v>
      </c>
      <c r="F344">
        <f t="shared" ref="F344:F349" si="74">C344-(E344*(C344-B344)/(E344-D344))</f>
        <v>1.4000000000000001</v>
      </c>
      <c r="G344">
        <f>ABS((Tabla468[[#This Row],[xi-1]]-B343)/Tabla468[[#This Row],[xi-1]])</f>
        <v>0.5</v>
      </c>
    </row>
    <row r="345" spans="1:9" x14ac:dyDescent="0.3">
      <c r="A345">
        <v>3</v>
      </c>
      <c r="B345">
        <f t="shared" ref="B345:B349" si="75">C344</f>
        <v>1.3333333333333335</v>
      </c>
      <c r="C345">
        <f t="shared" ref="C345:C349" si="76">F344</f>
        <v>1.4000000000000001</v>
      </c>
      <c r="D345">
        <f>(Tabla468[[#This Row],[xi-1]]^2)-2</f>
        <v>-0.22222222222222188</v>
      </c>
      <c r="E345">
        <f>(Tabla468[[#This Row],[xi]]^2)-2</f>
        <v>-3.9999999999999591E-2</v>
      </c>
      <c r="F345">
        <f t="shared" si="74"/>
        <v>1.4146341463414633</v>
      </c>
      <c r="G345">
        <f>ABS((Tabla468[[#This Row],[xi-1]]-B344)/Tabla468[[#This Row],[xi-1]])</f>
        <v>0.49999999999999983</v>
      </c>
    </row>
    <row r="346" spans="1:9" x14ac:dyDescent="0.3">
      <c r="A346">
        <v>4</v>
      </c>
      <c r="B346">
        <f t="shared" si="75"/>
        <v>1.4000000000000001</v>
      </c>
      <c r="C346">
        <f t="shared" si="76"/>
        <v>1.4146341463414633</v>
      </c>
      <c r="D346">
        <f>(Tabla468[[#This Row],[xi-1]]^2)-2</f>
        <v>-3.9999999999999591E-2</v>
      </c>
      <c r="E346">
        <f>(Tabla468[[#This Row],[xi]]^2)-2</f>
        <v>1.1897679952408424E-3</v>
      </c>
      <c r="F346">
        <f t="shared" si="74"/>
        <v>1.4142114384748701</v>
      </c>
      <c r="G346">
        <f>ABS((Tabla468[[#This Row],[xi-1]]-B345)/Tabla468[[#This Row],[xi-1]])</f>
        <v>4.7619047619047603E-2</v>
      </c>
    </row>
    <row r="347" spans="1:9" x14ac:dyDescent="0.3">
      <c r="A347">
        <v>5</v>
      </c>
      <c r="B347">
        <f t="shared" si="75"/>
        <v>1.4146341463414633</v>
      </c>
      <c r="C347">
        <f t="shared" si="76"/>
        <v>1.4142114384748701</v>
      </c>
      <c r="D347">
        <f>(Tabla468[[#This Row],[xi-1]]^2)-2</f>
        <v>1.1897679952408424E-3</v>
      </c>
      <c r="E347">
        <f>(Tabla468[[#This Row],[xi]]^2)-2</f>
        <v>-6.0072868388605372E-6</v>
      </c>
      <c r="F347">
        <f>C347-(E347*(C347-B347)/(E347-D347))</f>
        <v>1.4142135620573204</v>
      </c>
      <c r="G347">
        <f>ABS((Tabla468[[#This Row],[xi-1]]-B346)/Tabla468[[#This Row],[xi-1]])</f>
        <v>1.0344827586206749E-2</v>
      </c>
    </row>
    <row r="348" spans="1:9" x14ac:dyDescent="0.3">
      <c r="A348">
        <v>6</v>
      </c>
      <c r="B348">
        <f t="shared" si="75"/>
        <v>1.4142114384748701</v>
      </c>
      <c r="C348">
        <f t="shared" si="76"/>
        <v>1.4142135620573204</v>
      </c>
      <c r="D348">
        <f>(Tabla468[[#This Row],[xi-1]]^2)-2</f>
        <v>-6.0072868388605372E-6</v>
      </c>
      <c r="E348">
        <f>(Tabla468[[#This Row],[xi]]^2)-2</f>
        <v>-8.9314555751229818E-10</v>
      </c>
      <c r="F348">
        <f t="shared" ref="F348:F349" si="77">C348-(E348*(C348-B348)/(E348-D348))</f>
        <v>1.4142135623730954</v>
      </c>
      <c r="G348">
        <f>ABS((Tabla468[[#This Row],[xi-1]]-B347)/Tabla468[[#This Row],[xi-1]])</f>
        <v>2.9890004782391323E-4</v>
      </c>
    </row>
    <row r="349" spans="1:9" x14ac:dyDescent="0.3">
      <c r="A349">
        <v>7</v>
      </c>
      <c r="B349">
        <f t="shared" si="75"/>
        <v>1.4142135620573204</v>
      </c>
      <c r="C349">
        <f t="shared" si="76"/>
        <v>1.4142135623730954</v>
      </c>
      <c r="D349">
        <f>(Tabla468[[#This Row],[xi-1]]^2)-2</f>
        <v>-8.9314555751229818E-10</v>
      </c>
      <c r="E349">
        <f>(Tabla468[[#This Row],[xi]]^2)-2</f>
        <v>0</v>
      </c>
      <c r="F349">
        <f t="shared" si="77"/>
        <v>1.4142135623730954</v>
      </c>
      <c r="G349">
        <f>ABS((Tabla468[[#This Row],[xi-1]]-B348)/Tabla468[[#This Row],[xi-1]])</f>
        <v>1.5015995513728907E-6</v>
      </c>
    </row>
    <row r="352" spans="1:9" x14ac:dyDescent="0.3">
      <c r="A352" t="s">
        <v>32</v>
      </c>
      <c r="B352" t="s">
        <v>68</v>
      </c>
      <c r="C352" t="s">
        <v>69</v>
      </c>
      <c r="D352" t="s">
        <v>70</v>
      </c>
      <c r="E352" t="s">
        <v>22</v>
      </c>
      <c r="F352" t="s">
        <v>79</v>
      </c>
      <c r="G352" t="s">
        <v>26</v>
      </c>
    </row>
    <row r="353" spans="1:9" x14ac:dyDescent="0.3">
      <c r="A353">
        <v>1</v>
      </c>
      <c r="B353">
        <v>1</v>
      </c>
      <c r="C353">
        <v>3</v>
      </c>
      <c r="D353">
        <f>(Tabla46811[[#This Row],[xi-1]]^2)+(2*Tabla46811[[#This Row],[xi-1]])-8</f>
        <v>-5</v>
      </c>
      <c r="E353">
        <f>(Tabla46811[[#This Row],[xi]]^2)+(2*Tabla46811[[#This Row],[xi]])-8</f>
        <v>7</v>
      </c>
      <c r="F353">
        <f>C353-(E353*(C353-B353)/(E353-D353))</f>
        <v>1.8333333333333333</v>
      </c>
      <c r="G353" t="e">
        <f>ABS((Tabla46811[[#This Row],[xi-1]]-B352)/Tabla46811[[#This Row],[xi-1]])</f>
        <v>#VALUE!</v>
      </c>
      <c r="I353" s="3" t="s">
        <v>30</v>
      </c>
    </row>
    <row r="354" spans="1:9" x14ac:dyDescent="0.3">
      <c r="A354">
        <v>2</v>
      </c>
      <c r="B354">
        <f>C353</f>
        <v>3</v>
      </c>
      <c r="C354">
        <f>F353</f>
        <v>1.8333333333333333</v>
      </c>
      <c r="D354">
        <f>(Tabla46811[[#This Row],[xi-1]]^2)+(2*Tabla46811[[#This Row],[xi-1]])-8</f>
        <v>7</v>
      </c>
      <c r="E354">
        <f>(Tabla46811[[#This Row],[xi]]^2)+(2*Tabla46811[[#This Row],[xi]])-8</f>
        <v>-0.97222222222222321</v>
      </c>
      <c r="F354">
        <f t="shared" ref="F354:F359" si="78">C354-(E354*(C354-B354)/(E354-D354))</f>
        <v>1.975609756097561</v>
      </c>
      <c r="G354">
        <f>ABS((Tabla46811[[#This Row],[xi-1]]-B353)/Tabla46811[[#This Row],[xi-1]])</f>
        <v>0.66666666666666663</v>
      </c>
    </row>
    <row r="355" spans="1:9" x14ac:dyDescent="0.3">
      <c r="A355">
        <v>3</v>
      </c>
      <c r="B355">
        <f t="shared" ref="B355:B359" si="79">C354</f>
        <v>1.8333333333333333</v>
      </c>
      <c r="C355">
        <f t="shared" ref="C355:C359" si="80">F354</f>
        <v>1.975609756097561</v>
      </c>
      <c r="D355">
        <f>(Tabla46811[[#This Row],[xi-1]]^2)+(2*Tabla46811[[#This Row],[xi-1]])-8</f>
        <v>-0.97222222222222321</v>
      </c>
      <c r="E355">
        <f>(Tabla46811[[#This Row],[xi]]^2)+(2*Tabla46811[[#This Row],[xi]])-8</f>
        <v>-0.14574657941701386</v>
      </c>
      <c r="F355">
        <f t="shared" si="78"/>
        <v>2.0006997900629813</v>
      </c>
      <c r="G355">
        <f>ABS((Tabla46811[[#This Row],[xi-1]]-B354)/Tabla46811[[#This Row],[xi-1]])</f>
        <v>0.63636363636363646</v>
      </c>
    </row>
    <row r="356" spans="1:9" x14ac:dyDescent="0.3">
      <c r="A356">
        <v>4</v>
      </c>
      <c r="B356">
        <f t="shared" si="79"/>
        <v>1.975609756097561</v>
      </c>
      <c r="C356">
        <f t="shared" si="80"/>
        <v>2.0006997900629813</v>
      </c>
      <c r="D356">
        <f>(Tabla46811[[#This Row],[xi-1]]^2)+(2*Tabla46811[[#This Row],[xi-1]])-8</f>
        <v>-0.14574657941701386</v>
      </c>
      <c r="E356">
        <f>(Tabla46811[[#This Row],[xi]]^2)+(2*Tabla46811[[#This Row],[xi]])-8</f>
        <v>4.1992300840192343E-3</v>
      </c>
      <c r="F356">
        <f t="shared" si="78"/>
        <v>1.9999971440484827</v>
      </c>
      <c r="G356">
        <f>ABS((Tabla46811[[#This Row],[xi-1]]-B355)/Tabla46811[[#This Row],[xi-1]])</f>
        <v>7.2016460905349827E-2</v>
      </c>
    </row>
    <row r="357" spans="1:9" x14ac:dyDescent="0.3">
      <c r="A357">
        <v>5</v>
      </c>
      <c r="B357">
        <f t="shared" si="79"/>
        <v>2.0006997900629813</v>
      </c>
      <c r="C357">
        <f t="shared" si="80"/>
        <v>1.9999971440484827</v>
      </c>
      <c r="D357">
        <f>(Tabla46811[[#This Row],[xi-1]]^2)+(2*Tabla46811[[#This Row],[xi-1]])-8</f>
        <v>4.1992300840192343E-3</v>
      </c>
      <c r="E357">
        <f>(Tabla46811[[#This Row],[xi]]^2)+(2*Tabla46811[[#This Row],[xi]])-8</f>
        <v>-1.7135700947079613E-5</v>
      </c>
      <c r="F357">
        <f>C357-(E357*(C357-B357)/(E357-D357))</f>
        <v>1.9999999996669442</v>
      </c>
      <c r="G357">
        <f>ABS((Tabla46811[[#This Row],[xi-1]]-B356)/Tabla46811[[#This Row],[xi-1]])</f>
        <v>1.254062907890368E-2</v>
      </c>
    </row>
    <row r="358" spans="1:9" x14ac:dyDescent="0.3">
      <c r="A358">
        <v>6</v>
      </c>
      <c r="B358">
        <f t="shared" si="79"/>
        <v>1.9999971440484827</v>
      </c>
      <c r="C358">
        <f t="shared" si="80"/>
        <v>1.9999999996669442</v>
      </c>
      <c r="D358">
        <f>(Tabla46811[[#This Row],[xi-1]]^2)+(2*Tabla46811[[#This Row],[xi-1]])-8</f>
        <v>-1.7135700947079613E-5</v>
      </c>
      <c r="E358">
        <f>(Tabla46811[[#This Row],[xi]]^2)+(2*Tabla46811[[#This Row],[xi]])-8</f>
        <v>-1.9983348309438043E-9</v>
      </c>
      <c r="F358">
        <f t="shared" ref="F358:F359" si="81">C358-(E358*(C358-B358)/(E358-D358))</f>
        <v>2</v>
      </c>
      <c r="G358">
        <f>ABS((Tabla46811[[#This Row],[xi-1]]-B357)/Tabla46811[[#This Row],[xi-1]])</f>
        <v>3.5132350893072543E-4</v>
      </c>
    </row>
    <row r="359" spans="1:9" x14ac:dyDescent="0.3">
      <c r="A359">
        <v>7</v>
      </c>
      <c r="B359">
        <f t="shared" si="79"/>
        <v>1.9999999996669442</v>
      </c>
      <c r="C359">
        <f t="shared" si="80"/>
        <v>2</v>
      </c>
      <c r="D359">
        <f>(Tabla46811[[#This Row],[xi-1]]^2)+(2*Tabla46811[[#This Row],[xi-1]])-8</f>
        <v>-1.9983348309438043E-9</v>
      </c>
      <c r="E359">
        <f>(Tabla46811[[#This Row],[xi]]^2)+(2*Tabla46811[[#This Row],[xi]])-8</f>
        <v>0</v>
      </c>
      <c r="F359">
        <f t="shared" si="81"/>
        <v>2</v>
      </c>
      <c r="G359">
        <f>ABS((Tabla46811[[#This Row],[xi-1]]-B358)/Tabla46811[[#This Row],[xi-1]])</f>
        <v>1.4278092309740355E-6</v>
      </c>
    </row>
  </sheetData>
  <mergeCells count="4">
    <mergeCell ref="A1:G5"/>
    <mergeCell ref="A88:K97"/>
    <mergeCell ref="A210:M217"/>
    <mergeCell ref="A290:J299"/>
  </mergeCells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carrasco escalante</dc:creator>
  <cp:lastModifiedBy>felipe carrasco escalante</cp:lastModifiedBy>
  <dcterms:created xsi:type="dcterms:W3CDTF">2026-03-10T04:05:22Z</dcterms:created>
  <dcterms:modified xsi:type="dcterms:W3CDTF">2026-03-10T04:08:21Z</dcterms:modified>
</cp:coreProperties>
</file>